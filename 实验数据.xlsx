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5"/>
  <workbookPr/>
  <mc:AlternateContent xmlns:mc="http://schemas.openxmlformats.org/markup-compatibility/2006">
    <mc:Choice Requires="x15">
      <x15ac:absPath xmlns:x15ac="http://schemas.microsoft.com/office/spreadsheetml/2010/11/ac" url="https://d.docs.live.net/fd6aedd1cc760d28/Desktop/"/>
    </mc:Choice>
  </mc:AlternateContent>
  <xr:revisionPtr revIDLastSave="72" documentId="13_ncr:1_{839E5626-A2CA-46A2-9B12-BDCDA603FB43}" xr6:coauthVersionLast="47" xr6:coauthVersionMax="47" xr10:uidLastSave="{BAEA56B4-0089-4695-A354-17501B2087CD}"/>
  <bookViews>
    <workbookView xWindow="-257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3" l="1"/>
  <c r="M33" i="3"/>
  <c r="L34" i="3"/>
  <c r="M34" i="3"/>
  <c r="L35" i="3"/>
  <c r="M35" i="3"/>
  <c r="D36" i="3"/>
  <c r="L36" i="3" s="1"/>
  <c r="E36" i="3"/>
  <c r="M36" i="3" s="1"/>
  <c r="F36" i="3"/>
  <c r="G36" i="3"/>
  <c r="H36" i="3"/>
  <c r="I36" i="3"/>
  <c r="J36" i="3"/>
  <c r="K36" i="3"/>
  <c r="D37" i="3"/>
  <c r="E37" i="3"/>
  <c r="F37" i="3"/>
  <c r="G37" i="3"/>
  <c r="H37" i="3"/>
  <c r="I37" i="3"/>
  <c r="J37" i="3"/>
  <c r="K37" i="3"/>
  <c r="G30" i="3"/>
  <c r="G24" i="3"/>
  <c r="M24" i="3" s="1"/>
  <c r="M29" i="3"/>
  <c r="L29" i="3"/>
  <c r="M28" i="3"/>
  <c r="L28" i="3"/>
  <c r="M27" i="3"/>
  <c r="L27" i="3"/>
  <c r="M23" i="3"/>
  <c r="L23" i="3"/>
  <c r="M22" i="3"/>
  <c r="L22" i="3"/>
  <c r="M21" i="3"/>
  <c r="L21" i="3"/>
  <c r="L18" i="3"/>
  <c r="M17" i="3"/>
  <c r="L17" i="3"/>
  <c r="M16" i="3"/>
  <c r="L16" i="3"/>
  <c r="M15" i="3"/>
  <c r="L15" i="3"/>
  <c r="K30" i="3"/>
  <c r="D30" i="3"/>
  <c r="E30" i="3"/>
  <c r="F30" i="3"/>
  <c r="H30" i="3"/>
  <c r="I30" i="3"/>
  <c r="J30" i="3"/>
  <c r="D31" i="3"/>
  <c r="E31" i="3"/>
  <c r="F31" i="3"/>
  <c r="G31" i="3"/>
  <c r="H31" i="3"/>
  <c r="I31" i="3"/>
  <c r="J31" i="3"/>
  <c r="K31" i="3"/>
  <c r="G6" i="3"/>
  <c r="J24" i="3"/>
  <c r="L24" i="3" s="1"/>
  <c r="H6" i="3"/>
  <c r="L6" i="3" s="1"/>
  <c r="K24" i="3"/>
  <c r="D24" i="3"/>
  <c r="E24" i="3"/>
  <c r="F24" i="3"/>
  <c r="H24" i="3"/>
  <c r="I24" i="3"/>
  <c r="D25" i="3"/>
  <c r="E25" i="3"/>
  <c r="F25" i="3"/>
  <c r="G25" i="3"/>
  <c r="H25" i="3"/>
  <c r="I25" i="3"/>
  <c r="J25" i="3"/>
  <c r="K25" i="3"/>
  <c r="D6" i="3"/>
  <c r="J18" i="3"/>
  <c r="G7" i="3"/>
  <c r="K19" i="3"/>
  <c r="J19" i="3"/>
  <c r="I19" i="3"/>
  <c r="H19" i="3"/>
  <c r="G19" i="3"/>
  <c r="F19" i="3"/>
  <c r="E19" i="3"/>
  <c r="D19" i="3"/>
  <c r="M6" i="3"/>
  <c r="F6" i="3"/>
  <c r="K13" i="1"/>
  <c r="E7" i="3"/>
  <c r="F7" i="3"/>
  <c r="H7" i="3"/>
  <c r="K13" i="3"/>
  <c r="J13" i="3"/>
  <c r="I13" i="3"/>
  <c r="H13" i="3"/>
  <c r="G13" i="3"/>
  <c r="F13" i="3"/>
  <c r="E13" i="3"/>
  <c r="D13" i="3"/>
  <c r="I7" i="3"/>
  <c r="J7" i="3"/>
  <c r="K7" i="3"/>
  <c r="D7" i="3"/>
  <c r="D18" i="3"/>
  <c r="E18" i="3"/>
  <c r="F18" i="3"/>
  <c r="G18" i="3"/>
  <c r="H18" i="3"/>
  <c r="I18" i="3"/>
  <c r="K18" i="3"/>
  <c r="M18" i="3" s="1"/>
  <c r="L9" i="3"/>
  <c r="M9" i="3"/>
  <c r="L10" i="3"/>
  <c r="M10" i="3"/>
  <c r="L11" i="3"/>
  <c r="M11" i="3"/>
  <c r="D12" i="3"/>
  <c r="E12" i="3"/>
  <c r="F12" i="3"/>
  <c r="G12" i="3"/>
  <c r="H12" i="3"/>
  <c r="I12" i="3"/>
  <c r="J12" i="3"/>
  <c r="K12" i="3"/>
  <c r="L4" i="3"/>
  <c r="M4" i="3"/>
  <c r="L5" i="3"/>
  <c r="M5" i="3"/>
  <c r="M3" i="3"/>
  <c r="L3" i="3"/>
  <c r="E6" i="3"/>
  <c r="I6" i="3"/>
  <c r="J6" i="3"/>
  <c r="K6" i="3"/>
  <c r="L27" i="2"/>
  <c r="L26" i="2"/>
  <c r="L24" i="2"/>
  <c r="L23" i="2"/>
  <c r="L21" i="2"/>
  <c r="L20" i="2"/>
  <c r="L18" i="2"/>
  <c r="I27" i="2"/>
  <c r="I24" i="2"/>
  <c r="I21" i="2"/>
  <c r="I18" i="2"/>
  <c r="F27" i="2"/>
  <c r="F24" i="2"/>
  <c r="F21" i="2"/>
  <c r="F18" i="2"/>
  <c r="C27" i="2"/>
  <c r="C24" i="2"/>
  <c r="C21" i="2"/>
  <c r="C18" i="2"/>
  <c r="O13" i="2"/>
  <c r="O10" i="2"/>
  <c r="O7" i="2"/>
  <c r="O4" i="2"/>
  <c r="L13" i="2"/>
  <c r="L10" i="2"/>
  <c r="L7" i="2"/>
  <c r="L4" i="2"/>
  <c r="I13" i="2"/>
  <c r="I10" i="2"/>
  <c r="I7" i="2"/>
  <c r="I4" i="2"/>
  <c r="F13" i="2"/>
  <c r="F10" i="2"/>
  <c r="F7" i="2"/>
  <c r="F4" i="2"/>
  <c r="M20" i="2"/>
  <c r="M17" i="2"/>
  <c r="L17" i="2"/>
  <c r="I26" i="2"/>
  <c r="I23" i="2"/>
  <c r="I20" i="2"/>
  <c r="I17" i="2"/>
  <c r="I6" i="2"/>
  <c r="F6" i="2"/>
  <c r="C20" i="2"/>
  <c r="C26" i="2"/>
  <c r="M26" i="2" s="1"/>
  <c r="C23" i="2"/>
  <c r="M23" i="2" s="1"/>
  <c r="C17" i="2"/>
  <c r="F20" i="2"/>
  <c r="F26" i="2"/>
  <c r="N26" i="2" s="1"/>
  <c r="F23" i="2"/>
  <c r="F17" i="2"/>
  <c r="N17" i="2" s="1"/>
  <c r="L6" i="2"/>
  <c r="O12" i="2"/>
  <c r="O9" i="2"/>
  <c r="O6" i="2"/>
  <c r="O3" i="2"/>
  <c r="L12" i="2"/>
  <c r="L9" i="2"/>
  <c r="L3" i="2"/>
  <c r="I12" i="2"/>
  <c r="I9" i="2"/>
  <c r="I3" i="2"/>
  <c r="F3" i="2"/>
  <c r="F9" i="2"/>
  <c r="F12" i="2"/>
  <c r="N12" i="1"/>
  <c r="L16" i="1"/>
  <c r="M12" i="1"/>
  <c r="L17" i="1"/>
  <c r="K17" i="1"/>
  <c r="L15" i="1"/>
  <c r="K15" i="1"/>
  <c r="L18" i="1"/>
  <c r="K18" i="1"/>
  <c r="K16" i="1"/>
  <c r="L14" i="1"/>
  <c r="L13" i="1"/>
  <c r="L30" i="3" l="1"/>
  <c r="M30" i="3"/>
  <c r="L12" i="3"/>
  <c r="M12" i="3"/>
  <c r="N23" i="2"/>
  <c r="N20" i="2"/>
  <c r="N18" i="1"/>
  <c r="M18" i="1"/>
</calcChain>
</file>

<file path=xl/sharedStrings.xml><?xml version="1.0" encoding="utf-8"?>
<sst xmlns="http://schemas.openxmlformats.org/spreadsheetml/2006/main" count="372" uniqueCount="131">
  <si>
    <t>Spatial</t>
    <phoneticPr fontId="1" type="noConversion"/>
  </si>
  <si>
    <t>Object</t>
    <phoneticPr fontId="1" type="noConversion"/>
  </si>
  <si>
    <t>Goal</t>
    <phoneticPr fontId="1" type="noConversion"/>
  </si>
  <si>
    <t>Long</t>
    <phoneticPr fontId="1" type="noConversion"/>
  </si>
  <si>
    <t>Avg</t>
    <phoneticPr fontId="1" type="noConversion"/>
  </si>
  <si>
    <t>20%(10)</t>
    <phoneticPr fontId="1" type="noConversion"/>
  </si>
  <si>
    <t>100%(50)</t>
    <phoneticPr fontId="1" type="noConversion"/>
  </si>
  <si>
    <t>Transformer</t>
  </si>
  <si>
    <t>Diffusion Policy</t>
    <phoneticPr fontId="1" type="noConversion"/>
  </si>
  <si>
    <t>Backbones</t>
    <phoneticPr fontId="1" type="noConversion"/>
  </si>
  <si>
    <t>Transformer</t>
    <phoneticPr fontId="1" type="noConversion"/>
  </si>
  <si>
    <t>LIBERO</t>
    <phoneticPr fontId="1" type="noConversion"/>
  </si>
  <si>
    <t>Mamba</t>
  </si>
  <si>
    <t>xLSTM</t>
  </si>
  <si>
    <t>-</t>
    <phoneticPr fontId="1" type="noConversion"/>
  </si>
  <si>
    <t>78.3±1.1</t>
    <phoneticPr fontId="1" type="noConversion"/>
  </si>
  <si>
    <t>92.5±0.7</t>
    <phoneticPr fontId="1" type="noConversion"/>
  </si>
  <si>
    <t>68.3±1.2</t>
    <phoneticPr fontId="1" type="noConversion"/>
  </si>
  <si>
    <t>50.5±1.3</t>
    <phoneticPr fontId="1" type="noConversion"/>
  </si>
  <si>
    <t>63.6±1.8</t>
    <phoneticPr fontId="1" type="noConversion"/>
  </si>
  <si>
    <t>91.7±2.7</t>
    <phoneticPr fontId="1" type="noConversion"/>
  </si>
  <si>
    <t>89.7±1.6</t>
    <phoneticPr fontId="1" type="noConversion"/>
  </si>
  <si>
    <t>57.4±2.0</t>
    <phoneticPr fontId="1" type="noConversion"/>
  </si>
  <si>
    <t>87.1±4.0</t>
    <phoneticPr fontId="1" type="noConversion"/>
  </si>
  <si>
    <t>24.3±5.9</t>
    <phoneticPr fontId="1" type="noConversion"/>
  </si>
  <si>
    <t>79.1±1.5</t>
    <phoneticPr fontId="1" type="noConversion"/>
  </si>
  <si>
    <t>66.2±10.7</t>
    <phoneticPr fontId="1" type="noConversion"/>
  </si>
  <si>
    <t>84.1±2.7</t>
    <phoneticPr fontId="1" type="noConversion"/>
  </si>
  <si>
    <t>72.8±25.0</t>
    <phoneticPr fontId="1" type="noConversion"/>
  </si>
  <si>
    <t>97.9±0.4</t>
    <phoneticPr fontId="1" type="noConversion"/>
  </si>
  <si>
    <t>72.5±2.4</t>
    <phoneticPr fontId="1" type="noConversion"/>
  </si>
  <si>
    <t>88.4±2.3</t>
    <phoneticPr fontId="1" type="noConversion"/>
  </si>
  <si>
    <t>34.3±1.8</t>
    <phoneticPr fontId="1" type="noConversion"/>
  </si>
  <si>
    <t>72.1±2.9</t>
    <phoneticPr fontId="1" type="noConversion"/>
  </si>
  <si>
    <t>72.8±3.3</t>
    <phoneticPr fontId="1" type="noConversion"/>
  </si>
  <si>
    <t>89.8±1.2</t>
    <phoneticPr fontId="1" type="noConversion"/>
  </si>
  <si>
    <t>93.5±1.2</t>
    <phoneticPr fontId="1" type="noConversion"/>
  </si>
  <si>
    <t>96.7±0.9</t>
    <phoneticPr fontId="1" type="noConversion"/>
  </si>
  <si>
    <t>72.7±3.2</t>
    <phoneticPr fontId="1" type="noConversion"/>
  </si>
  <si>
    <t>91.7±1.7</t>
    <phoneticPr fontId="1" type="noConversion"/>
  </si>
  <si>
    <t>47.6±2.7</t>
    <phoneticPr fontId="1" type="noConversion"/>
  </si>
  <si>
    <t>78.6±1.1</t>
    <phoneticPr fontId="1" type="noConversion"/>
  </si>
  <si>
    <t>models</t>
    <phoneticPr fontId="1" type="noConversion"/>
  </si>
  <si>
    <t>66.5±4.1</t>
    <phoneticPr fontId="1" type="noConversion"/>
  </si>
  <si>
    <t>89.5±1.2</t>
    <phoneticPr fontId="1" type="noConversion"/>
  </si>
  <si>
    <t>90.6±1.2</t>
    <phoneticPr fontId="1" type="noConversion"/>
  </si>
  <si>
    <t>98.6±0.2</t>
    <phoneticPr fontId="1" type="noConversion"/>
  </si>
  <si>
    <t>59.8±2.8</t>
    <phoneticPr fontId="1" type="noConversion"/>
  </si>
  <si>
    <t>85.8±0.5</t>
    <phoneticPr fontId="1" type="noConversion"/>
  </si>
  <si>
    <t>40.5±2.2</t>
    <phoneticPr fontId="1" type="noConversion"/>
  </si>
  <si>
    <t>79.3±0.9</t>
    <phoneticPr fontId="1" type="noConversion"/>
  </si>
  <si>
    <t>73.3±5.4</t>
    <phoneticPr fontId="1" type="noConversion"/>
  </si>
  <si>
    <t>92.0±1.4</t>
    <phoneticPr fontId="1" type="noConversion"/>
  </si>
  <si>
    <t>96.6±0.3</t>
    <phoneticPr fontId="1" type="noConversion"/>
  </si>
  <si>
    <t>99.1±0.2</t>
    <phoneticPr fontId="1" type="noConversion"/>
  </si>
  <si>
    <t>69.4±5.6</t>
    <phoneticPr fontId="1" type="noConversion"/>
  </si>
  <si>
    <t>94.5±0.8</t>
    <phoneticPr fontId="1" type="noConversion"/>
  </si>
  <si>
    <t>46.3±3.4</t>
    <phoneticPr fontId="1" type="noConversion"/>
  </si>
  <si>
    <t>85.2±1.9</t>
    <phoneticPr fontId="1" type="noConversion"/>
  </si>
  <si>
    <t>74.9±3.0</t>
    <phoneticPr fontId="1" type="noConversion"/>
  </si>
  <si>
    <t>93.5±0.5</t>
    <phoneticPr fontId="1" type="noConversion"/>
  </si>
  <si>
    <t>98.6±0.9</t>
    <phoneticPr fontId="1" type="noConversion"/>
  </si>
  <si>
    <t>77.9±3.5</t>
    <phoneticPr fontId="1" type="noConversion"/>
  </si>
  <si>
    <t>92.9±0.6</t>
    <phoneticPr fontId="1" type="noConversion"/>
  </si>
  <si>
    <t>51.8±3.6</t>
    <phoneticPr fontId="1" type="noConversion"/>
  </si>
  <si>
    <t>84.1±2.6</t>
    <phoneticPr fontId="1" type="noConversion"/>
  </si>
  <si>
    <t>46.3±1.1</t>
    <phoneticPr fontId="1" type="noConversion"/>
  </si>
  <si>
    <t>87.6±2.7</t>
    <phoneticPr fontId="1" type="noConversion"/>
  </si>
  <si>
    <t>94.3±2.0</t>
    <phoneticPr fontId="1" type="noConversion"/>
  </si>
  <si>
    <t>32.6±1.2</t>
    <phoneticPr fontId="1" type="noConversion"/>
  </si>
  <si>
    <t>82.4±2.2</t>
    <phoneticPr fontId="1" type="noConversion"/>
  </si>
  <si>
    <t>34.4±0.4</t>
    <phoneticPr fontId="1" type="noConversion"/>
  </si>
  <si>
    <t>80.5±1.1</t>
    <phoneticPr fontId="1" type="noConversion"/>
  </si>
  <si>
    <t>63.9±4.9</t>
    <phoneticPr fontId="1" type="noConversion"/>
  </si>
  <si>
    <t>92.6±2.0</t>
    <phoneticPr fontId="1" type="noConversion"/>
  </si>
  <si>
    <t>91.9±1.0</t>
    <phoneticPr fontId="1" type="noConversion"/>
  </si>
  <si>
    <t>99.7±0.1</t>
    <phoneticPr fontId="1" type="noConversion"/>
  </si>
  <si>
    <t>55.4±2.4</t>
    <phoneticPr fontId="1" type="noConversion"/>
  </si>
  <si>
    <t>93.7±1.8</t>
    <phoneticPr fontId="1" type="noConversion"/>
  </si>
  <si>
    <t>42.7±1.5</t>
    <phoneticPr fontId="1" type="noConversion"/>
  </si>
  <si>
    <t>84.5±0.6</t>
    <phoneticPr fontId="1" type="noConversion"/>
  </si>
  <si>
    <t>76.9±3.8</t>
    <phoneticPr fontId="1" type="noConversion"/>
  </si>
  <si>
    <t>92.9±0.1</t>
    <phoneticPr fontId="1" type="noConversion"/>
  </si>
  <si>
    <t>92.9±1.1</t>
    <phoneticPr fontId="1" type="noConversion"/>
  </si>
  <si>
    <t>98.8±0.4</t>
    <phoneticPr fontId="1" type="noConversion"/>
  </si>
  <si>
    <t>79.2±4.5</t>
    <phoneticPr fontId="1" type="noConversion"/>
  </si>
  <si>
    <t>91.9±0.2</t>
    <phoneticPr fontId="1" type="noConversion"/>
  </si>
  <si>
    <t>50.5±0.4</t>
    <phoneticPr fontId="1" type="noConversion"/>
  </si>
  <si>
    <t>84.3±0.6</t>
    <phoneticPr fontId="1" type="noConversion"/>
  </si>
  <si>
    <t>我的方法</t>
    <phoneticPr fontId="1" type="noConversion"/>
  </si>
  <si>
    <t>ddpm-transformer</t>
    <phoneticPr fontId="1" type="noConversion"/>
  </si>
  <si>
    <t>ddim-transformer</t>
    <phoneticPr fontId="1" type="noConversion"/>
  </si>
  <si>
    <t>ddim-encdec-transformer</t>
    <phoneticPr fontId="1" type="noConversion"/>
  </si>
  <si>
    <t>X-RF(dec)</t>
    <phoneticPr fontId="1" type="noConversion"/>
  </si>
  <si>
    <t>X-BESO(dec)</t>
    <phoneticPr fontId="1" type="noConversion"/>
  </si>
  <si>
    <t>X-BC(dec)</t>
    <phoneticPr fontId="1" type="noConversion"/>
  </si>
  <si>
    <t>ddim-encdec
transformer-mamba</t>
    <phoneticPr fontId="1" type="noConversion"/>
  </si>
  <si>
    <t>97.4±1.0
(48.9)</t>
    <phoneticPr fontId="1" type="noConversion"/>
  </si>
  <si>
    <t>源码里的ddpm</t>
    <phoneticPr fontId="1" type="noConversion"/>
  </si>
  <si>
    <t>encoder</t>
    <phoneticPr fontId="1" type="noConversion"/>
  </si>
  <si>
    <t>decoder</t>
    <phoneticPr fontId="1" type="noConversion"/>
  </si>
  <si>
    <t>avg:</t>
    <phoneticPr fontId="1" type="noConversion"/>
  </si>
  <si>
    <t>AVG</t>
    <phoneticPr fontId="1" type="noConversion"/>
  </si>
  <si>
    <t>σ²:</t>
    <phoneticPr fontId="1" type="noConversion"/>
  </si>
  <si>
    <t>Mamba</t>
    <phoneticPr fontId="1" type="noConversion"/>
  </si>
  <si>
    <t>Backbones</t>
  </si>
  <si>
    <t>avg</t>
    <phoneticPr fontId="1" type="noConversion"/>
  </si>
  <si>
    <t>σ²</t>
    <phoneticPr fontId="1" type="noConversion"/>
  </si>
  <si>
    <t>seed1</t>
    <phoneticPr fontId="1" type="noConversion"/>
  </si>
  <si>
    <t>seed2</t>
    <phoneticPr fontId="1" type="noConversion"/>
  </si>
  <si>
    <t>seed3</t>
  </si>
  <si>
    <t>transformer-mamba</t>
    <phoneticPr fontId="1" type="noConversion"/>
  </si>
  <si>
    <t>ddim</t>
    <phoneticPr fontId="1" type="noConversion"/>
  </si>
  <si>
    <t>transformer-transformer</t>
    <phoneticPr fontId="1" type="noConversion"/>
  </si>
  <si>
    <t>mamba-mamba</t>
    <phoneticPr fontId="1" type="noConversion"/>
  </si>
  <si>
    <t>97.4±1.0</t>
    <phoneticPr fontId="1" type="noConversion"/>
  </si>
  <si>
    <t>83±5.5</t>
    <phoneticPr fontId="1" type="noConversion"/>
  </si>
  <si>
    <t>95.5±1.5</t>
    <phoneticPr fontId="1" type="noConversion"/>
  </si>
  <si>
    <t>58 ± 7</t>
    <phoneticPr fontId="1" type="noConversion"/>
  </si>
  <si>
    <t>92.83±1.2</t>
    <phoneticPr fontId="1" type="noConversion"/>
  </si>
  <si>
    <t>44.6±4.4</t>
    <phoneticPr fontId="1" type="noConversion"/>
  </si>
  <si>
    <t>96±1.5</t>
    <phoneticPr fontId="1" type="noConversion"/>
  </si>
  <si>
    <t>82±1</t>
    <phoneticPr fontId="1" type="noConversion"/>
  </si>
  <si>
    <t>81.5±7.5</t>
    <phoneticPr fontId="1" type="noConversion"/>
  </si>
  <si>
    <t>ddpm</t>
    <phoneticPr fontId="1" type="noConversion"/>
  </si>
  <si>
    <t>seed4</t>
  </si>
  <si>
    <t>seed5</t>
  </si>
  <si>
    <t>seed6</t>
  </si>
  <si>
    <t>σ131</t>
  </si>
  <si>
    <t>transformer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</si>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</sst>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0" xfId="0" applyFill="1"/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10" fontId="0" fillId="0" borderId="0" xfId="0" applyNumberFormat="1"/>
    <xf numFmtId="0" fontId="2" fillId="2" borderId="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29" xfId="0" applyBorder="1"/>
    <xf numFmtId="0" fontId="0" fillId="0" borderId="3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workbookViewId="0">
      <selection activeCell="E4" sqref="E4:F6"/>
    </sheetView>
  </sheetViews>
  <sheetFormatPr defaultRowHeight="14.25" x14ac:dyDescent="0.2"/>
  <cols>
    <col min="1" max="1" width="13.375" customWidth="1"/>
    <col min="2" max="2" width="22.625" customWidth="1"/>
    <col min="3" max="12" width="9.625" customWidth="1"/>
    <col min="15" max="15" width="20.625" customWidth="1"/>
  </cols>
  <sheetData>
    <row r="1" spans="1:14" ht="27" customHeight="1" x14ac:dyDescent="0.2">
      <c r="A1" s="81" t="s">
        <v>11</v>
      </c>
      <c r="B1" s="82"/>
      <c r="C1" s="84" t="s">
        <v>0</v>
      </c>
      <c r="D1" s="80"/>
      <c r="E1" s="80" t="s">
        <v>1</v>
      </c>
      <c r="F1" s="80"/>
      <c r="G1" s="80" t="s">
        <v>2</v>
      </c>
      <c r="H1" s="80"/>
      <c r="I1" s="80" t="s">
        <v>3</v>
      </c>
      <c r="J1" s="80"/>
      <c r="K1" s="80" t="s">
        <v>4</v>
      </c>
      <c r="L1" s="80"/>
    </row>
    <row r="2" spans="1:14" ht="27" customHeight="1" x14ac:dyDescent="0.2">
      <c r="A2" s="12" t="s">
        <v>42</v>
      </c>
      <c r="B2" s="17" t="s">
        <v>9</v>
      </c>
      <c r="C2" s="8" t="s">
        <v>5</v>
      </c>
      <c r="D2" s="11" t="s">
        <v>6</v>
      </c>
      <c r="E2" s="8" t="s">
        <v>5</v>
      </c>
      <c r="F2" s="9" t="s">
        <v>6</v>
      </c>
      <c r="G2" s="8" t="s">
        <v>5</v>
      </c>
      <c r="H2" s="9" t="s">
        <v>6</v>
      </c>
      <c r="I2" s="8" t="s">
        <v>5</v>
      </c>
      <c r="J2" s="9" t="s">
        <v>6</v>
      </c>
      <c r="K2" s="8" t="s">
        <v>5</v>
      </c>
      <c r="L2" s="9" t="s">
        <v>6</v>
      </c>
    </row>
    <row r="3" spans="1:14" ht="27" customHeight="1" x14ac:dyDescent="0.2">
      <c r="A3" s="16" t="s">
        <v>8</v>
      </c>
      <c r="B3" s="13" t="s">
        <v>10</v>
      </c>
      <c r="C3" s="10" t="s">
        <v>14</v>
      </c>
      <c r="D3" s="14" t="s">
        <v>15</v>
      </c>
      <c r="E3" s="8" t="s">
        <v>14</v>
      </c>
      <c r="F3" s="9" t="s">
        <v>16</v>
      </c>
      <c r="G3" s="8" t="s">
        <v>14</v>
      </c>
      <c r="H3" s="9" t="s">
        <v>17</v>
      </c>
      <c r="I3" s="8" t="s">
        <v>14</v>
      </c>
      <c r="J3" s="9" t="s">
        <v>18</v>
      </c>
      <c r="K3" s="8" t="s">
        <v>14</v>
      </c>
      <c r="L3" s="9">
        <v>72.400000000000006</v>
      </c>
    </row>
    <row r="4" spans="1:14" ht="27" customHeight="1" x14ac:dyDescent="0.2">
      <c r="A4" s="75" t="s">
        <v>95</v>
      </c>
      <c r="B4" s="18" t="s">
        <v>7</v>
      </c>
      <c r="C4" s="14" t="s">
        <v>19</v>
      </c>
      <c r="D4" s="15" t="s">
        <v>20</v>
      </c>
      <c r="E4" s="10" t="s">
        <v>21</v>
      </c>
      <c r="F4" s="22" t="s">
        <v>97</v>
      </c>
      <c r="G4" s="10" t="s">
        <v>22</v>
      </c>
      <c r="H4" s="15" t="s">
        <v>23</v>
      </c>
      <c r="I4" s="10" t="s">
        <v>24</v>
      </c>
      <c r="J4" s="15" t="s">
        <v>25</v>
      </c>
      <c r="K4" s="10">
        <v>58.8</v>
      </c>
      <c r="L4" s="15">
        <v>88.8</v>
      </c>
    </row>
    <row r="5" spans="1:14" ht="27" customHeight="1" x14ac:dyDescent="0.2">
      <c r="A5" s="83"/>
      <c r="B5" s="19" t="s">
        <v>12</v>
      </c>
      <c r="C5" s="3" t="s">
        <v>26</v>
      </c>
      <c r="D5" s="4" t="s">
        <v>27</v>
      </c>
      <c r="E5" s="2" t="s">
        <v>28</v>
      </c>
      <c r="F5" s="4" t="s">
        <v>29</v>
      </c>
      <c r="G5" s="2" t="s">
        <v>30</v>
      </c>
      <c r="H5" s="4" t="s">
        <v>31</v>
      </c>
      <c r="I5" s="2" t="s">
        <v>32</v>
      </c>
      <c r="J5" s="4" t="s">
        <v>33</v>
      </c>
      <c r="K5" s="2">
        <v>61.5</v>
      </c>
      <c r="L5" s="4">
        <v>85.6</v>
      </c>
    </row>
    <row r="6" spans="1:14" ht="27" customHeight="1" x14ac:dyDescent="0.2">
      <c r="A6" s="71"/>
      <c r="B6" s="20" t="s">
        <v>13</v>
      </c>
      <c r="C6" s="6" t="s">
        <v>34</v>
      </c>
      <c r="D6" s="7" t="s">
        <v>35</v>
      </c>
      <c r="E6" s="5" t="s">
        <v>36</v>
      </c>
      <c r="F6" s="7" t="s">
        <v>37</v>
      </c>
      <c r="G6" s="5" t="s">
        <v>38</v>
      </c>
      <c r="H6" s="7" t="s">
        <v>39</v>
      </c>
      <c r="I6" s="5" t="s">
        <v>40</v>
      </c>
      <c r="J6" s="7" t="s">
        <v>41</v>
      </c>
      <c r="K6" s="5">
        <v>71.599999999999994</v>
      </c>
      <c r="L6" s="7">
        <v>89.2</v>
      </c>
    </row>
    <row r="7" spans="1:14" ht="27" customHeight="1" x14ac:dyDescent="0.2">
      <c r="A7" s="75" t="s">
        <v>94</v>
      </c>
      <c r="B7" s="18" t="s">
        <v>10</v>
      </c>
      <c r="C7" s="14" t="s">
        <v>43</v>
      </c>
      <c r="D7" s="15" t="s">
        <v>44</v>
      </c>
      <c r="E7" s="10" t="s">
        <v>45</v>
      </c>
      <c r="F7" s="15" t="s">
        <v>46</v>
      </c>
      <c r="G7" s="10" t="s">
        <v>47</v>
      </c>
      <c r="H7" s="15" t="s">
        <v>48</v>
      </c>
      <c r="I7" s="10" t="s">
        <v>49</v>
      </c>
      <c r="J7" s="15" t="s">
        <v>50</v>
      </c>
      <c r="K7" s="10">
        <v>64.400000000000006</v>
      </c>
      <c r="L7" s="15">
        <v>88.3</v>
      </c>
    </row>
    <row r="8" spans="1:14" ht="27" customHeight="1" x14ac:dyDescent="0.2">
      <c r="A8" s="83"/>
      <c r="B8" s="19" t="s">
        <v>12</v>
      </c>
      <c r="C8" s="3" t="s">
        <v>51</v>
      </c>
      <c r="D8" s="4" t="s">
        <v>52</v>
      </c>
      <c r="E8" s="2" t="s">
        <v>53</v>
      </c>
      <c r="F8" s="4" t="s">
        <v>54</v>
      </c>
      <c r="G8" s="2" t="s">
        <v>55</v>
      </c>
      <c r="H8" s="4" t="s">
        <v>56</v>
      </c>
      <c r="I8" s="2" t="s">
        <v>57</v>
      </c>
      <c r="J8" s="4" t="s">
        <v>58</v>
      </c>
      <c r="K8" s="2">
        <v>71.400000000000006</v>
      </c>
      <c r="L8" s="4">
        <v>92.7</v>
      </c>
    </row>
    <row r="9" spans="1:14" ht="27" customHeight="1" x14ac:dyDescent="0.2">
      <c r="A9" s="71"/>
      <c r="B9" s="20" t="s">
        <v>13</v>
      </c>
      <c r="C9" s="6" t="s">
        <v>59</v>
      </c>
      <c r="D9" s="7" t="s">
        <v>60</v>
      </c>
      <c r="E9" s="5" t="s">
        <v>60</v>
      </c>
      <c r="F9" s="7" t="s">
        <v>61</v>
      </c>
      <c r="G9" s="5" t="s">
        <v>62</v>
      </c>
      <c r="H9" s="7" t="s">
        <v>63</v>
      </c>
      <c r="I9" s="5" t="s">
        <v>64</v>
      </c>
      <c r="J9" s="7" t="s">
        <v>65</v>
      </c>
      <c r="K9" s="5">
        <v>74.5</v>
      </c>
      <c r="L9" s="7">
        <v>92.3</v>
      </c>
    </row>
    <row r="10" spans="1:14" ht="27" customHeight="1" x14ac:dyDescent="0.2">
      <c r="A10" s="75" t="s">
        <v>93</v>
      </c>
      <c r="B10" s="18" t="s">
        <v>10</v>
      </c>
      <c r="C10" s="14" t="s">
        <v>66</v>
      </c>
      <c r="D10" s="15" t="s">
        <v>67</v>
      </c>
      <c r="E10" s="10" t="s">
        <v>68</v>
      </c>
      <c r="F10" s="15" t="s">
        <v>61</v>
      </c>
      <c r="G10" s="10" t="s">
        <v>69</v>
      </c>
      <c r="H10" s="15" t="s">
        <v>70</v>
      </c>
      <c r="I10" s="10" t="s">
        <v>71</v>
      </c>
      <c r="J10" s="15" t="s">
        <v>72</v>
      </c>
      <c r="K10" s="10">
        <v>51.9</v>
      </c>
      <c r="L10" s="15">
        <v>87.3</v>
      </c>
      <c r="M10" s="1"/>
    </row>
    <row r="11" spans="1:14" ht="27" customHeight="1" x14ac:dyDescent="0.2">
      <c r="A11" s="83"/>
      <c r="B11" s="19" t="s">
        <v>104</v>
      </c>
      <c r="C11" s="3" t="s">
        <v>73</v>
      </c>
      <c r="D11" s="4" t="s">
        <v>74</v>
      </c>
      <c r="E11" s="2" t="s">
        <v>75</v>
      </c>
      <c r="F11" s="4" t="s">
        <v>76</v>
      </c>
      <c r="G11" s="2" t="s">
        <v>77</v>
      </c>
      <c r="H11" s="4" t="s">
        <v>78</v>
      </c>
      <c r="I11" s="2" t="s">
        <v>79</v>
      </c>
      <c r="J11" s="4" t="s">
        <v>80</v>
      </c>
      <c r="K11" s="2">
        <v>63.5</v>
      </c>
      <c r="L11" s="4">
        <v>92.6</v>
      </c>
    </row>
    <row r="12" spans="1:14" ht="27" customHeight="1" x14ac:dyDescent="0.2">
      <c r="A12" s="83"/>
      <c r="B12" s="19" t="s">
        <v>13</v>
      </c>
      <c r="C12" s="3" t="s">
        <v>81</v>
      </c>
      <c r="D12" s="4" t="s">
        <v>82</v>
      </c>
      <c r="E12" s="2" t="s">
        <v>83</v>
      </c>
      <c r="F12" s="4" t="s">
        <v>84</v>
      </c>
      <c r="G12" s="2" t="s">
        <v>85</v>
      </c>
      <c r="H12" s="4" t="s">
        <v>86</v>
      </c>
      <c r="I12" s="2" t="s">
        <v>87</v>
      </c>
      <c r="J12" s="4" t="s">
        <v>88</v>
      </c>
      <c r="K12" s="2">
        <v>74.900000000000006</v>
      </c>
      <c r="L12" s="4">
        <v>92</v>
      </c>
      <c r="M12" s="3">
        <f>MAX(K3:K12)</f>
        <v>74.900000000000006</v>
      </c>
      <c r="N12" s="3">
        <f>MAX(L3:L12)</f>
        <v>92.7</v>
      </c>
    </row>
    <row r="13" spans="1:14" ht="27" customHeight="1" x14ac:dyDescent="0.2">
      <c r="A13" s="21" t="s">
        <v>98</v>
      </c>
      <c r="B13" s="25" t="s">
        <v>90</v>
      </c>
      <c r="C13" s="10">
        <v>59.5</v>
      </c>
      <c r="D13" s="15"/>
      <c r="E13" s="14">
        <v>12.5</v>
      </c>
      <c r="F13" s="15"/>
      <c r="G13" s="10">
        <v>22.5</v>
      </c>
      <c r="H13" s="15"/>
      <c r="I13" s="10">
        <v>59</v>
      </c>
      <c r="J13" s="14"/>
      <c r="K13" s="15">
        <f t="shared" ref="K13:L18" si="0">(C13+E13+G13+I13)/4</f>
        <v>38.375</v>
      </c>
      <c r="L13" s="15">
        <f t="shared" si="0"/>
        <v>0</v>
      </c>
    </row>
    <row r="14" spans="1:14" ht="27" customHeight="1" x14ac:dyDescent="0.2">
      <c r="A14" s="85" t="s">
        <v>89</v>
      </c>
      <c r="B14" s="24" t="s">
        <v>91</v>
      </c>
      <c r="C14" s="2"/>
      <c r="D14" s="4">
        <v>74.5</v>
      </c>
      <c r="E14" s="3">
        <v>6.5</v>
      </c>
      <c r="F14" s="4">
        <v>29.5</v>
      </c>
      <c r="G14" s="2"/>
      <c r="H14" s="4">
        <v>0</v>
      </c>
      <c r="I14" s="2"/>
      <c r="J14" s="3">
        <v>54</v>
      </c>
      <c r="K14" s="2"/>
      <c r="L14" s="4">
        <f t="shared" si="0"/>
        <v>39.5</v>
      </c>
    </row>
    <row r="15" spans="1:14" ht="27" customHeight="1" x14ac:dyDescent="0.2">
      <c r="A15" s="85"/>
      <c r="B15" s="87" t="s">
        <v>92</v>
      </c>
      <c r="C15" s="10">
        <v>74.900000000000006</v>
      </c>
      <c r="D15" s="15"/>
      <c r="E15" s="14">
        <v>29</v>
      </c>
      <c r="F15" s="15"/>
      <c r="G15" s="10">
        <v>75</v>
      </c>
      <c r="H15" s="15"/>
      <c r="I15" s="10">
        <v>61</v>
      </c>
      <c r="J15" s="14"/>
      <c r="K15" s="10">
        <f>(C15+E15+G15+I15)/4</f>
        <v>59.975000000000001</v>
      </c>
      <c r="L15" s="15">
        <f t="shared" si="0"/>
        <v>0</v>
      </c>
    </row>
    <row r="16" spans="1:14" ht="27" customHeight="1" x14ac:dyDescent="0.2">
      <c r="A16" s="85"/>
      <c r="B16" s="87"/>
      <c r="C16" s="5">
        <v>70</v>
      </c>
      <c r="D16" s="7">
        <v>96.5</v>
      </c>
      <c r="E16" s="6">
        <v>39</v>
      </c>
      <c r="F16" s="7">
        <v>88</v>
      </c>
      <c r="G16" s="5">
        <v>70.900000000000006</v>
      </c>
      <c r="H16" s="7">
        <v>96.5</v>
      </c>
      <c r="I16" s="5">
        <v>63.5</v>
      </c>
      <c r="J16" s="6">
        <v>94</v>
      </c>
      <c r="K16" s="5">
        <f>(C16+E16+G16+I16)/4</f>
        <v>60.85</v>
      </c>
      <c r="L16" s="7">
        <f>(D16+F16+H16+J16)/4</f>
        <v>93.75</v>
      </c>
    </row>
    <row r="17" spans="1:14" ht="27" customHeight="1" x14ac:dyDescent="0.2">
      <c r="A17" s="85"/>
      <c r="B17" s="87" t="s">
        <v>96</v>
      </c>
      <c r="C17" s="2">
        <v>80</v>
      </c>
      <c r="D17" s="4"/>
      <c r="E17" s="2">
        <v>30.5</v>
      </c>
      <c r="F17" s="4"/>
      <c r="G17" s="2">
        <v>78</v>
      </c>
      <c r="H17" s="4"/>
      <c r="I17" s="2">
        <v>67</v>
      </c>
      <c r="J17" s="4"/>
      <c r="K17" s="2">
        <f>(C17+E17+G17+I17)/4</f>
        <v>63.875</v>
      </c>
      <c r="L17" s="4">
        <f t="shared" si="0"/>
        <v>0</v>
      </c>
    </row>
    <row r="18" spans="1:14" ht="27" customHeight="1" x14ac:dyDescent="0.2">
      <c r="A18" s="86"/>
      <c r="B18" s="88"/>
      <c r="C18" s="5">
        <v>87.5</v>
      </c>
      <c r="D18" s="7">
        <v>96</v>
      </c>
      <c r="E18" s="5">
        <v>44</v>
      </c>
      <c r="F18" s="7">
        <v>59.5</v>
      </c>
      <c r="G18" s="5">
        <v>86.5</v>
      </c>
      <c r="H18" s="7">
        <v>98</v>
      </c>
      <c r="I18" s="5">
        <v>55.5</v>
      </c>
      <c r="J18" s="7">
        <v>92</v>
      </c>
      <c r="K18" s="6">
        <f>(C18+E18+G18+I18)/4</f>
        <v>68.375</v>
      </c>
      <c r="L18" s="7">
        <f t="shared" si="0"/>
        <v>86.375</v>
      </c>
      <c r="M18" s="23">
        <f>(MAX(K13:K18)-M12)/M12</f>
        <v>-8.7116154873164292E-2</v>
      </c>
      <c r="N18" s="23">
        <f>(MAX(L13:L18)-N12)/N12</f>
        <v>1.1326860841423918E-2</v>
      </c>
    </row>
    <row r="26" spans="1:14" x14ac:dyDescent="0.2">
      <c r="B26" s="3"/>
      <c r="C26" s="3"/>
      <c r="D26" s="3"/>
    </row>
  </sheetData>
  <mergeCells count="12">
    <mergeCell ref="A4:A6"/>
    <mergeCell ref="A7:A9"/>
    <mergeCell ref="A10:A12"/>
    <mergeCell ref="C1:D1"/>
    <mergeCell ref="A14:A18"/>
    <mergeCell ref="B17:B18"/>
    <mergeCell ref="B15:B16"/>
    <mergeCell ref="E1:F1"/>
    <mergeCell ref="G1:H1"/>
    <mergeCell ref="I1:J1"/>
    <mergeCell ref="K1:L1"/>
    <mergeCell ref="A1:B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CD02-F301-4A30-93CB-7CE47974DE59}">
  <dimension ref="A1:O28"/>
  <sheetViews>
    <sheetView zoomScale="130" zoomScaleNormal="130" workbookViewId="0">
      <selection activeCell="M3" sqref="M3"/>
    </sheetView>
  </sheetViews>
  <sheetFormatPr defaultRowHeight="14.25" x14ac:dyDescent="0.2"/>
  <cols>
    <col min="1" max="1" width="9.5" customWidth="1"/>
    <col min="2" max="2" width="7" customWidth="1"/>
    <col min="3" max="3" width="6.75" customWidth="1"/>
    <col min="4" max="4" width="7.75" customWidth="1"/>
    <col min="5" max="5" width="5" customWidth="1"/>
    <col min="6" max="7" width="7.625" customWidth="1"/>
    <col min="8" max="8" width="5.375" customWidth="1"/>
    <col min="9" max="9" width="8.5" customWidth="1"/>
    <col min="10" max="10" width="7.75" customWidth="1"/>
    <col min="11" max="11" width="5" customWidth="1"/>
    <col min="12" max="13" width="7.625" customWidth="1"/>
    <col min="14" max="14" width="7.5" customWidth="1"/>
    <col min="15" max="15" width="8.5" customWidth="1"/>
    <col min="16" max="16" width="7.75" customWidth="1"/>
    <col min="17" max="17" width="5" customWidth="1"/>
    <col min="18" max="19" width="7.625" customWidth="1"/>
    <col min="20" max="20" width="5.375" customWidth="1"/>
    <col min="21" max="21" width="8.5" customWidth="1"/>
    <col min="22" max="22" width="7.75" customWidth="1"/>
    <col min="23" max="23" width="5" customWidth="1"/>
    <col min="24" max="24" width="7.625" customWidth="1"/>
  </cols>
  <sheetData>
    <row r="1" spans="1:15" ht="14.1" customHeight="1" x14ac:dyDescent="0.2">
      <c r="A1" s="93" t="s">
        <v>96</v>
      </c>
      <c r="B1" s="98" t="s">
        <v>99</v>
      </c>
      <c r="C1" s="99" t="s">
        <v>100</v>
      </c>
      <c r="D1" s="90" t="s">
        <v>0</v>
      </c>
      <c r="E1" s="91"/>
      <c r="F1" s="91"/>
      <c r="G1" s="91"/>
      <c r="H1" s="91"/>
      <c r="I1" s="92"/>
      <c r="J1" s="90" t="s">
        <v>1</v>
      </c>
      <c r="K1" s="91"/>
      <c r="L1" s="91" t="s">
        <v>2</v>
      </c>
      <c r="M1" s="91"/>
      <c r="N1" s="91" t="s">
        <v>3</v>
      </c>
      <c r="O1" s="92"/>
    </row>
    <row r="2" spans="1:15" x14ac:dyDescent="0.2">
      <c r="A2" s="94"/>
      <c r="B2" s="69"/>
      <c r="C2" s="76"/>
      <c r="D2" s="89" t="s">
        <v>5</v>
      </c>
      <c r="E2" s="69"/>
      <c r="F2" s="69"/>
      <c r="G2" s="69" t="s">
        <v>6</v>
      </c>
      <c r="H2" s="69"/>
      <c r="I2" s="96"/>
      <c r="J2" s="89" t="s">
        <v>5</v>
      </c>
      <c r="K2" s="69" t="s">
        <v>6</v>
      </c>
      <c r="L2" s="69" t="s">
        <v>5</v>
      </c>
      <c r="M2" s="69" t="s">
        <v>6</v>
      </c>
      <c r="N2" s="69" t="s">
        <v>5</v>
      </c>
      <c r="O2" s="96" t="s">
        <v>6</v>
      </c>
    </row>
    <row r="3" spans="1:15" x14ac:dyDescent="0.2">
      <c r="A3" s="94"/>
      <c r="B3" s="75">
        <v>4</v>
      </c>
      <c r="C3" s="97">
        <v>6</v>
      </c>
      <c r="D3" s="27">
        <v>0.82</v>
      </c>
      <c r="E3" s="26" t="s">
        <v>101</v>
      </c>
      <c r="F3" s="26">
        <f>SUM(D3:D5)/3</f>
        <v>0.67166666666666652</v>
      </c>
      <c r="G3" s="26">
        <v>0.93</v>
      </c>
      <c r="H3" s="26" t="s">
        <v>101</v>
      </c>
      <c r="I3" s="8">
        <f>SUM(G3:G5)/3</f>
        <v>0.93333333333333324</v>
      </c>
      <c r="J3" s="27">
        <v>0.36</v>
      </c>
      <c r="K3" s="26" t="s">
        <v>101</v>
      </c>
      <c r="L3" s="33">
        <f>SUM(J3:J5)/3</f>
        <v>0.4466666666666666</v>
      </c>
      <c r="M3" s="26">
        <v>0.81499999999999995</v>
      </c>
      <c r="N3" s="26" t="s">
        <v>101</v>
      </c>
      <c r="O3" s="36">
        <f>SUM(M3:M5)/3</f>
        <v>0.66833333333333333</v>
      </c>
    </row>
    <row r="4" spans="1:15" x14ac:dyDescent="0.2">
      <c r="A4" s="94"/>
      <c r="B4" s="83"/>
      <c r="C4" s="85"/>
      <c r="D4" s="27">
        <v>0.435</v>
      </c>
      <c r="E4" s="26" t="s">
        <v>103</v>
      </c>
      <c r="F4" s="26">
        <f>_xlfn.VAR.P(D3:D5)</f>
        <v>2.8605555555555599E-2</v>
      </c>
      <c r="G4" s="26">
        <v>0.94499999999999995</v>
      </c>
      <c r="H4" s="26" t="s">
        <v>103</v>
      </c>
      <c r="I4" s="37">
        <f>_xlfn.VAR.P(G3:G5)</f>
        <v>7.2222222222221487E-5</v>
      </c>
      <c r="J4" s="27">
        <v>0.49</v>
      </c>
      <c r="K4" s="26" t="s">
        <v>103</v>
      </c>
      <c r="L4" s="37">
        <f>_xlfn.VAR.P(J3:J5)</f>
        <v>3.7555555555555615E-3</v>
      </c>
      <c r="M4" s="26">
        <v>0.48</v>
      </c>
      <c r="N4" s="26" t="s">
        <v>103</v>
      </c>
      <c r="O4" s="28">
        <f>_xlfn.VAR.P(M3:M5)</f>
        <v>1.95722222222223E-2</v>
      </c>
    </row>
    <row r="5" spans="1:15" x14ac:dyDescent="0.2">
      <c r="A5" s="94"/>
      <c r="B5" s="71"/>
      <c r="C5" s="86"/>
      <c r="D5" s="27">
        <v>0.76</v>
      </c>
      <c r="E5" s="26"/>
      <c r="F5" s="26"/>
      <c r="G5" s="26">
        <v>0.92500000000000004</v>
      </c>
      <c r="H5" s="26"/>
      <c r="I5" s="8"/>
      <c r="J5" s="27">
        <v>0.49</v>
      </c>
      <c r="K5" s="26"/>
      <c r="L5" s="26"/>
      <c r="M5" s="26">
        <v>0.71</v>
      </c>
      <c r="N5" s="26"/>
      <c r="O5" s="28"/>
    </row>
    <row r="6" spans="1:15" x14ac:dyDescent="0.2">
      <c r="A6" s="94"/>
      <c r="B6" s="75">
        <v>4</v>
      </c>
      <c r="C6" s="97">
        <v>8</v>
      </c>
      <c r="D6" s="27">
        <v>0.82499999999999996</v>
      </c>
      <c r="E6" s="26" t="s">
        <v>101</v>
      </c>
      <c r="F6" s="26">
        <f>SUM(D6:D8)/3</f>
        <v>0.82</v>
      </c>
      <c r="G6" s="26">
        <v>0.97499999999999998</v>
      </c>
      <c r="H6" s="26" t="s">
        <v>101</v>
      </c>
      <c r="I6" s="8">
        <f>SUM(G6:G8)/3</f>
        <v>0.95166666666666666</v>
      </c>
      <c r="J6" s="27">
        <v>0.53</v>
      </c>
      <c r="K6" s="26" t="s">
        <v>101</v>
      </c>
      <c r="L6" s="26">
        <f>SUM(J6:J8)/3</f>
        <v>0.37000000000000005</v>
      </c>
      <c r="M6" s="26">
        <v>0.755</v>
      </c>
      <c r="N6" s="26" t="s">
        <v>101</v>
      </c>
      <c r="O6" s="28">
        <f>SUM(M6:M8)/2</f>
        <v>0.54500000000000004</v>
      </c>
    </row>
    <row r="7" spans="1:15" x14ac:dyDescent="0.2">
      <c r="A7" s="94"/>
      <c r="B7" s="83"/>
      <c r="C7" s="85"/>
      <c r="D7" s="27">
        <v>0.82499999999999996</v>
      </c>
      <c r="E7" s="26" t="s">
        <v>103</v>
      </c>
      <c r="F7" s="26">
        <f>_xlfn.VAR.P(D6:D8)</f>
        <v>4.9999999999999352E-5</v>
      </c>
      <c r="G7" s="26">
        <v>0.93</v>
      </c>
      <c r="H7" s="26" t="s">
        <v>103</v>
      </c>
      <c r="I7" s="26">
        <f>_xlfn.VAR.P(G6:G8)</f>
        <v>3.3888888888888792E-4</v>
      </c>
      <c r="J7" s="27">
        <v>0.155</v>
      </c>
      <c r="K7" s="26" t="s">
        <v>103</v>
      </c>
      <c r="L7" s="26">
        <f>_xlfn.VAR.P(J6:J8)</f>
        <v>2.4950000000000003E-2</v>
      </c>
      <c r="M7" s="26">
        <v>0.33500000000000002</v>
      </c>
      <c r="N7" s="26" t="s">
        <v>103</v>
      </c>
      <c r="O7" s="28">
        <f>_xlfn.VAR.P(M6:M8)</f>
        <v>4.4099999999999973E-2</v>
      </c>
    </row>
    <row r="8" spans="1:15" x14ac:dyDescent="0.2">
      <c r="A8" s="94"/>
      <c r="B8" s="71"/>
      <c r="C8" s="86"/>
      <c r="D8" s="27">
        <v>0.81</v>
      </c>
      <c r="E8" s="26"/>
      <c r="F8" s="26"/>
      <c r="G8" s="26">
        <v>0.95</v>
      </c>
      <c r="H8" s="26"/>
      <c r="I8" s="8"/>
      <c r="J8" s="27">
        <v>0.42499999999999999</v>
      </c>
      <c r="K8" s="26"/>
      <c r="L8" s="26"/>
      <c r="M8" s="26"/>
      <c r="N8" s="26"/>
      <c r="O8" s="28"/>
    </row>
    <row r="9" spans="1:15" x14ac:dyDescent="0.2">
      <c r="A9" s="94"/>
      <c r="B9" s="75">
        <v>6</v>
      </c>
      <c r="C9" s="97">
        <v>6</v>
      </c>
      <c r="D9" s="27">
        <v>0.82</v>
      </c>
      <c r="E9" s="26" t="s">
        <v>101</v>
      </c>
      <c r="F9" s="33">
        <f t="shared" ref="F9" si="0">SUM(D9:D11)/3</f>
        <v>0.82333333333333325</v>
      </c>
      <c r="G9" s="26">
        <v>0.95</v>
      </c>
      <c r="H9" s="26" t="s">
        <v>101</v>
      </c>
      <c r="I9" s="8">
        <f>SUM(G9:G11)/3</f>
        <v>0.94666666666666666</v>
      </c>
      <c r="J9" s="27">
        <v>0.40500000000000003</v>
      </c>
      <c r="K9" s="26" t="s">
        <v>101</v>
      </c>
      <c r="L9" s="26">
        <f>SUM(J9:J11)/3</f>
        <v>0.34033333333333332</v>
      </c>
      <c r="M9" s="26">
        <v>0.38500000000000001</v>
      </c>
      <c r="N9" s="26" t="s">
        <v>101</v>
      </c>
      <c r="O9" s="28">
        <f>SUM(M9:M11)/3</f>
        <v>0.44666666666666671</v>
      </c>
    </row>
    <row r="10" spans="1:15" x14ac:dyDescent="0.2">
      <c r="A10" s="94"/>
      <c r="B10" s="83"/>
      <c r="C10" s="85"/>
      <c r="D10" s="27">
        <v>0.82</v>
      </c>
      <c r="E10" s="26" t="s">
        <v>103</v>
      </c>
      <c r="F10" s="37">
        <f>_xlfn.VAR.P(D9:D11)</f>
        <v>2.2222222222222261E-5</v>
      </c>
      <c r="G10" s="26">
        <v>0.94</v>
      </c>
      <c r="H10" s="26" t="s">
        <v>103</v>
      </c>
      <c r="I10" s="26">
        <f>_xlfn.VAR.P(G9:G11)</f>
        <v>2.2222222222222261E-5</v>
      </c>
      <c r="J10" s="27">
        <v>0.21</v>
      </c>
      <c r="K10" s="26" t="s">
        <v>103</v>
      </c>
      <c r="L10" s="26">
        <f>_xlfn.VAR.P(J9:J11)</f>
        <v>8.4935555555555944E-3</v>
      </c>
      <c r="M10" s="26">
        <v>0.45500000000000002</v>
      </c>
      <c r="N10" s="26" t="s">
        <v>103</v>
      </c>
      <c r="O10" s="38">
        <f>_xlfn.VAR.P(M9:M11)</f>
        <v>2.2388888888888766E-3</v>
      </c>
    </row>
    <row r="11" spans="1:15" x14ac:dyDescent="0.2">
      <c r="A11" s="94"/>
      <c r="B11" s="71"/>
      <c r="C11" s="86"/>
      <c r="D11" s="27">
        <v>0.83</v>
      </c>
      <c r="E11" s="26"/>
      <c r="F11" s="26"/>
      <c r="G11" s="26">
        <v>0.95</v>
      </c>
      <c r="H11" s="26"/>
      <c r="I11" s="8"/>
      <c r="J11" s="27">
        <v>0.40600000000000003</v>
      </c>
      <c r="K11" s="26"/>
      <c r="L11" s="26"/>
      <c r="M11" s="26">
        <v>0.5</v>
      </c>
      <c r="N11" s="26"/>
      <c r="O11" s="28"/>
    </row>
    <row r="12" spans="1:15" x14ac:dyDescent="0.2">
      <c r="A12" s="94"/>
      <c r="B12" s="75">
        <v>6</v>
      </c>
      <c r="C12" s="97">
        <v>8</v>
      </c>
      <c r="D12" s="27">
        <v>0.83499999999999996</v>
      </c>
      <c r="E12" s="26" t="s">
        <v>101</v>
      </c>
      <c r="F12" s="26">
        <f t="shared" ref="F12" si="1">SUM(D12:D14)/3</f>
        <v>0.82166666666666666</v>
      </c>
      <c r="G12" s="26">
        <v>0.94499999999999995</v>
      </c>
      <c r="H12" s="26" t="s">
        <v>101</v>
      </c>
      <c r="I12" s="34">
        <f>SUM(G12:G14)/3</f>
        <v>0.96</v>
      </c>
      <c r="J12" s="27">
        <v>0.24</v>
      </c>
      <c r="K12" s="26" t="s">
        <v>101</v>
      </c>
      <c r="L12" s="26">
        <f>SUM(J12:J14)/3</f>
        <v>0.37333333333333335</v>
      </c>
      <c r="M12" s="26">
        <v>0.52</v>
      </c>
      <c r="N12" s="26" t="s">
        <v>101</v>
      </c>
      <c r="O12" s="28">
        <f>SUM(M12:M14)/3</f>
        <v>0.505</v>
      </c>
    </row>
    <row r="13" spans="1:15" x14ac:dyDescent="0.2">
      <c r="A13" s="94"/>
      <c r="B13" s="83"/>
      <c r="C13" s="85"/>
      <c r="D13" s="27">
        <v>0.85</v>
      </c>
      <c r="E13" s="26" t="s">
        <v>103</v>
      </c>
      <c r="F13" s="26">
        <f>_xlfn.VAR.P(D12:D14)</f>
        <v>9.0555555555555409E-4</v>
      </c>
      <c r="G13" s="26">
        <v>0.98499999999999999</v>
      </c>
      <c r="H13" s="26" t="s">
        <v>103</v>
      </c>
      <c r="I13" s="26">
        <f>_xlfn.VAR.P(G12:G14)</f>
        <v>3.1666666666666719E-4</v>
      </c>
      <c r="J13" s="27">
        <v>0.34499999999999997</v>
      </c>
      <c r="K13" s="26" t="s">
        <v>103</v>
      </c>
      <c r="L13" s="26">
        <f>_xlfn.VAR.P(J12:J14)</f>
        <v>1.490555555555553E-2</v>
      </c>
      <c r="M13" s="26">
        <v>0.57999999999999996</v>
      </c>
      <c r="N13" s="26" t="s">
        <v>103</v>
      </c>
      <c r="O13" s="28">
        <f>_xlfn.VAR.P(M12:M14)</f>
        <v>4.6499999999999693E-3</v>
      </c>
    </row>
    <row r="14" spans="1:15" ht="15" thickBot="1" x14ac:dyDescent="0.25">
      <c r="A14" s="95"/>
      <c r="B14" s="100"/>
      <c r="C14" s="101"/>
      <c r="D14" s="29">
        <v>0.78</v>
      </c>
      <c r="E14" s="30"/>
      <c r="F14" s="30"/>
      <c r="G14" s="30">
        <v>0.95</v>
      </c>
      <c r="H14" s="30"/>
      <c r="I14" s="32"/>
      <c r="J14" s="29">
        <v>0.53500000000000003</v>
      </c>
      <c r="K14" s="30"/>
      <c r="L14" s="30"/>
      <c r="M14" s="30">
        <v>0.41499999999999998</v>
      </c>
      <c r="N14" s="30"/>
      <c r="O14" s="31"/>
    </row>
    <row r="15" spans="1:15" x14ac:dyDescent="0.2">
      <c r="A15" s="90" t="s">
        <v>2</v>
      </c>
      <c r="B15" s="91"/>
      <c r="C15" s="91" t="s">
        <v>2</v>
      </c>
      <c r="D15" s="91"/>
      <c r="E15" s="91" t="s">
        <v>3</v>
      </c>
      <c r="F15" s="92"/>
      <c r="G15" s="90" t="s">
        <v>3</v>
      </c>
      <c r="H15" s="91"/>
      <c r="I15" s="91" t="s">
        <v>2</v>
      </c>
      <c r="J15" s="91"/>
      <c r="K15" s="91" t="s">
        <v>3</v>
      </c>
      <c r="L15" s="102"/>
      <c r="M15" s="90" t="s">
        <v>102</v>
      </c>
      <c r="N15" s="92"/>
    </row>
    <row r="16" spans="1:15" x14ac:dyDescent="0.2">
      <c r="A16" s="89" t="s">
        <v>5</v>
      </c>
      <c r="B16" s="69" t="s">
        <v>6</v>
      </c>
      <c r="C16" s="69" t="s">
        <v>5</v>
      </c>
      <c r="D16" s="69" t="s">
        <v>6</v>
      </c>
      <c r="E16" s="69" t="s">
        <v>5</v>
      </c>
      <c r="F16" s="96" t="s">
        <v>6</v>
      </c>
      <c r="G16" s="89" t="s">
        <v>5</v>
      </c>
      <c r="H16" s="69" t="s">
        <v>6</v>
      </c>
      <c r="I16" s="69" t="s">
        <v>5</v>
      </c>
      <c r="J16" s="69" t="s">
        <v>6</v>
      </c>
      <c r="K16" s="69" t="s">
        <v>5</v>
      </c>
      <c r="L16" s="76" t="s">
        <v>6</v>
      </c>
      <c r="M16" s="27" t="s">
        <v>5</v>
      </c>
      <c r="N16" s="28" t="s">
        <v>6</v>
      </c>
    </row>
    <row r="17" spans="1:14" x14ac:dyDescent="0.2">
      <c r="A17" s="27">
        <v>0.76</v>
      </c>
      <c r="B17" s="26" t="s">
        <v>101</v>
      </c>
      <c r="C17" s="8">
        <f>SUM(A17:A19)/3</f>
        <v>0.78500000000000003</v>
      </c>
      <c r="D17" s="26">
        <v>0.96</v>
      </c>
      <c r="E17" s="26" t="s">
        <v>101</v>
      </c>
      <c r="F17" s="8">
        <f>SUM(D17:D19)/3</f>
        <v>0.95333333333333325</v>
      </c>
      <c r="G17" s="27">
        <v>0.61499999999999999</v>
      </c>
      <c r="H17" s="26" t="s">
        <v>101</v>
      </c>
      <c r="I17" s="8">
        <f>SUM(G17:G19)/3</f>
        <v>0.47666666666666674</v>
      </c>
      <c r="J17" s="26">
        <v>0.3</v>
      </c>
      <c r="K17" s="26" t="s">
        <v>101</v>
      </c>
      <c r="L17" s="8">
        <f>SUM(J17:J19)/3</f>
        <v>0.34999999999999992</v>
      </c>
      <c r="M17" s="27">
        <f>AVERAGE(F3,L3,C17,I17)</f>
        <v>0.59499999999999997</v>
      </c>
      <c r="N17" s="36">
        <f>AVERAGE(I3,O3,F17,L17)</f>
        <v>0.72624999999999995</v>
      </c>
    </row>
    <row r="18" spans="1:14" x14ac:dyDescent="0.2">
      <c r="A18" s="27">
        <v>0.73499999999999999</v>
      </c>
      <c r="B18" s="26" t="s">
        <v>103</v>
      </c>
      <c r="C18" s="26">
        <f>_xlfn.VAR.P(A17:A19)</f>
        <v>2.9166666666666664E-3</v>
      </c>
      <c r="D18" s="26">
        <v>0.94</v>
      </c>
      <c r="E18" s="26" t="s">
        <v>103</v>
      </c>
      <c r="F18" s="37">
        <f>_xlfn.VAR.P(D17:D19)</f>
        <v>8.8888888888889042E-5</v>
      </c>
      <c r="G18" s="27">
        <v>0.255</v>
      </c>
      <c r="H18" s="26" t="s">
        <v>103</v>
      </c>
      <c r="I18" s="26">
        <f>_xlfn.VAR.P(G17:G19)</f>
        <v>2.5072222222222162E-2</v>
      </c>
      <c r="J18" s="26">
        <v>0.17499999999999999</v>
      </c>
      <c r="K18" s="26" t="s">
        <v>103</v>
      </c>
      <c r="L18" s="26">
        <f>_xlfn.VAR.P(J17:J19)</f>
        <v>2.7916666666666687E-2</v>
      </c>
      <c r="M18" s="27"/>
      <c r="N18" s="28"/>
    </row>
    <row r="19" spans="1:14" x14ac:dyDescent="0.2">
      <c r="A19" s="27">
        <v>0.86</v>
      </c>
      <c r="B19" s="26"/>
      <c r="C19" s="8"/>
      <c r="D19" s="26">
        <v>0.96</v>
      </c>
      <c r="E19" s="26"/>
      <c r="F19" s="8"/>
      <c r="G19" s="27">
        <v>0.56000000000000005</v>
      </c>
      <c r="H19" s="26"/>
      <c r="I19" s="8"/>
      <c r="J19" s="26">
        <v>0.57499999999999996</v>
      </c>
      <c r="K19" s="26"/>
      <c r="L19" s="8"/>
      <c r="M19" s="27"/>
      <c r="N19" s="28"/>
    </row>
    <row r="20" spans="1:14" x14ac:dyDescent="0.2">
      <c r="A20" s="27">
        <v>0.75</v>
      </c>
      <c r="B20" s="26" t="s">
        <v>101</v>
      </c>
      <c r="C20" s="8">
        <f>SUM(A20:A22)/3</f>
        <v>0.77666666666666673</v>
      </c>
      <c r="D20" s="26">
        <v>0.92</v>
      </c>
      <c r="E20" s="26" t="s">
        <v>101</v>
      </c>
      <c r="F20" s="8">
        <f>SUM(D20:D22)/3</f>
        <v>0.94166666666666676</v>
      </c>
      <c r="G20" s="27">
        <v>0.63</v>
      </c>
      <c r="H20" s="26" t="s">
        <v>101</v>
      </c>
      <c r="I20" s="8">
        <f>SUM(G20:G22)/3</f>
        <v>0.58000000000000007</v>
      </c>
      <c r="J20" s="26">
        <v>0.33500000000000002</v>
      </c>
      <c r="K20" s="26" t="s">
        <v>101</v>
      </c>
      <c r="L20" s="34">
        <f>SUM(J20:J22)/3</f>
        <v>0.39333333333333337</v>
      </c>
      <c r="M20" s="27">
        <f>AVERAGE(F6,L6,C20,I20)</f>
        <v>0.63666666666666671</v>
      </c>
      <c r="N20" s="28">
        <f>AVERAGE(I6,O6,F20,L20)</f>
        <v>0.70791666666666675</v>
      </c>
    </row>
    <row r="21" spans="1:14" x14ac:dyDescent="0.2">
      <c r="A21" s="27">
        <v>0.73499999999999999</v>
      </c>
      <c r="B21" s="26" t="s">
        <v>103</v>
      </c>
      <c r="C21" s="26">
        <f>_xlfn.VAR.P(A20:A22)</f>
        <v>2.3722222222222213E-3</v>
      </c>
      <c r="D21" s="26">
        <v>0.93</v>
      </c>
      <c r="E21" s="26" t="s">
        <v>103</v>
      </c>
      <c r="F21" s="26">
        <f>_xlfn.VAR.P(D20:D22)</f>
        <v>5.7222222222222082E-4</v>
      </c>
      <c r="G21" s="27">
        <v>0.51</v>
      </c>
      <c r="H21" s="26" t="s">
        <v>103</v>
      </c>
      <c r="I21" s="26">
        <f>_xlfn.VAR.P(G20:G22)</f>
        <v>2.5999999999999994E-3</v>
      </c>
      <c r="J21" s="26">
        <v>0.21</v>
      </c>
      <c r="K21" s="26" t="s">
        <v>103</v>
      </c>
      <c r="L21" s="26">
        <f>_xlfn.VAR.P(J20:J22)</f>
        <v>3.1805555555555517E-2</v>
      </c>
      <c r="M21" s="27"/>
      <c r="N21" s="28"/>
    </row>
    <row r="22" spans="1:14" x14ac:dyDescent="0.2">
      <c r="A22" s="27">
        <v>0.84499999999999997</v>
      </c>
      <c r="B22" s="26"/>
      <c r="C22" s="8"/>
      <c r="D22" s="26">
        <v>0.97499999999999998</v>
      </c>
      <c r="E22" s="26"/>
      <c r="F22" s="8"/>
      <c r="G22" s="27">
        <v>0.6</v>
      </c>
      <c r="H22" s="26"/>
      <c r="I22" s="8"/>
      <c r="J22" s="26">
        <v>0.63500000000000001</v>
      </c>
      <c r="K22" s="26"/>
      <c r="L22" s="8"/>
      <c r="M22" s="27"/>
      <c r="N22" s="28"/>
    </row>
    <row r="23" spans="1:14" x14ac:dyDescent="0.2">
      <c r="A23" s="27">
        <v>0.78</v>
      </c>
      <c r="B23" s="26" t="s">
        <v>101</v>
      </c>
      <c r="C23" s="34">
        <f>SUM(A23:A25)/3</f>
        <v>0.83000000000000007</v>
      </c>
      <c r="D23" s="26">
        <v>0.96499999999999997</v>
      </c>
      <c r="E23" s="26" t="s">
        <v>101</v>
      </c>
      <c r="F23" s="8">
        <f>SUM(D23:D25)/3</f>
        <v>0.78166666666666673</v>
      </c>
      <c r="G23" s="27">
        <v>0.54500000000000004</v>
      </c>
      <c r="H23" s="26" t="s">
        <v>101</v>
      </c>
      <c r="I23" s="8">
        <f>SUM(G23:G25)/3</f>
        <v>0.53500000000000003</v>
      </c>
      <c r="J23" s="26">
        <v>9.5000000000000001E-2</v>
      </c>
      <c r="K23" s="26" t="s">
        <v>101</v>
      </c>
      <c r="L23" s="8">
        <f>SUM(J23:J25)/3</f>
        <v>4.6666666666666669E-2</v>
      </c>
      <c r="M23" s="27">
        <f>AVERAGE(F9,L9,C23,I23)</f>
        <v>0.63216666666666665</v>
      </c>
      <c r="N23" s="28">
        <f>AVERAGE(I9,O9,F23,L23)</f>
        <v>0.55541666666666667</v>
      </c>
    </row>
    <row r="24" spans="1:14" x14ac:dyDescent="0.2">
      <c r="A24" s="27">
        <v>0.88500000000000001</v>
      </c>
      <c r="B24" s="26" t="s">
        <v>103</v>
      </c>
      <c r="C24" s="37">
        <f>_xlfn.VAR.P(A23:A25)</f>
        <v>1.8499999999999994E-3</v>
      </c>
      <c r="D24" s="26">
        <v>0.90500000000000003</v>
      </c>
      <c r="E24" s="26" t="s">
        <v>103</v>
      </c>
      <c r="F24" s="26">
        <f>_xlfn.VAR.P(D23:D25)</f>
        <v>4.7622222222222059E-2</v>
      </c>
      <c r="G24" s="27">
        <v>0.48</v>
      </c>
      <c r="H24" s="26" t="s">
        <v>103</v>
      </c>
      <c r="I24" s="26">
        <f>_xlfn.VAR.P(G23:G25)</f>
        <v>1.7166666666666667E-3</v>
      </c>
      <c r="J24" s="26">
        <v>4.4999999999999998E-2</v>
      </c>
      <c r="K24" s="26" t="s">
        <v>103</v>
      </c>
      <c r="L24" s="26">
        <f>_xlfn.VAR.P(J23:J25)</f>
        <v>1.5055555555555551E-3</v>
      </c>
      <c r="M24" s="27"/>
      <c r="N24" s="28"/>
    </row>
    <row r="25" spans="1:14" x14ac:dyDescent="0.2">
      <c r="A25" s="27">
        <v>0.82499999999999996</v>
      </c>
      <c r="B25" s="26"/>
      <c r="C25" s="8"/>
      <c r="D25" s="26">
        <v>0.47499999999999998</v>
      </c>
      <c r="E25" s="26"/>
      <c r="F25" s="8"/>
      <c r="G25" s="27">
        <v>0.57999999999999996</v>
      </c>
      <c r="H25" s="26"/>
      <c r="I25" s="8"/>
      <c r="J25" s="26">
        <v>0</v>
      </c>
      <c r="K25" s="26"/>
      <c r="L25" s="8"/>
      <c r="M25" s="27"/>
      <c r="N25" s="28"/>
    </row>
    <row r="26" spans="1:14" x14ac:dyDescent="0.2">
      <c r="A26" s="27">
        <v>0.77500000000000002</v>
      </c>
      <c r="B26" s="26" t="s">
        <v>101</v>
      </c>
      <c r="C26" s="8">
        <f>SUM(A26:A28)/3</f>
        <v>0.80166666666666675</v>
      </c>
      <c r="D26" s="26">
        <v>0.96499999999999997</v>
      </c>
      <c r="E26" s="26" t="s">
        <v>101</v>
      </c>
      <c r="F26" s="34">
        <f>SUM(D26:D28)/3</f>
        <v>0.95499999999999996</v>
      </c>
      <c r="G26" s="27">
        <v>0.54500000000000004</v>
      </c>
      <c r="H26" s="26" t="s">
        <v>101</v>
      </c>
      <c r="I26" s="34">
        <f>SUM(G26:G28)/3</f>
        <v>0.58166666666666667</v>
      </c>
      <c r="J26" s="26">
        <v>5.5E-2</v>
      </c>
      <c r="K26" s="26" t="s">
        <v>101</v>
      </c>
      <c r="L26" s="39">
        <f>SUM(J26:J28)/3</f>
        <v>2.3333333333333331E-2</v>
      </c>
      <c r="M26" s="35">
        <f>AVERAGE(F12,L12,C26,I26)</f>
        <v>0.6445833333333334</v>
      </c>
      <c r="N26" s="28">
        <f>AVERAGE(I12,O12,F26,L26)</f>
        <v>0.61083333333333334</v>
      </c>
    </row>
    <row r="27" spans="1:14" x14ac:dyDescent="0.2">
      <c r="A27" s="27">
        <v>0.76</v>
      </c>
      <c r="B27" s="26" t="s">
        <v>103</v>
      </c>
      <c r="C27" s="26">
        <f>_xlfn.VAR.P(A26:A28)</f>
        <v>2.3722222222222213E-3</v>
      </c>
      <c r="D27" s="26">
        <v>0.94</v>
      </c>
      <c r="E27" s="26" t="s">
        <v>103</v>
      </c>
      <c r="F27" s="26">
        <f>_xlfn.VAR.P(D26:D28)</f>
        <v>1.1666666666666688E-4</v>
      </c>
      <c r="G27" s="27">
        <v>0.58499999999999996</v>
      </c>
      <c r="H27" s="26" t="s">
        <v>103</v>
      </c>
      <c r="I27" s="37">
        <f>_xlfn.VAR.P(G26:G28)</f>
        <v>8.2222222222222104E-4</v>
      </c>
      <c r="J27" s="26">
        <v>5.0000000000000001E-3</v>
      </c>
      <c r="K27" s="26" t="s">
        <v>103</v>
      </c>
      <c r="L27" s="40">
        <f>_xlfn.VAR.P(J26:J28)</f>
        <v>5.0555555555555553E-4</v>
      </c>
      <c r="M27" s="27"/>
      <c r="N27" s="28"/>
    </row>
    <row r="28" spans="1:14" ht="15" thickBot="1" x14ac:dyDescent="0.25">
      <c r="A28" s="29">
        <v>0.87</v>
      </c>
      <c r="B28" s="30"/>
      <c r="C28" s="32"/>
      <c r="D28" s="30">
        <v>0.96</v>
      </c>
      <c r="E28" s="30"/>
      <c r="F28" s="32"/>
      <c r="G28" s="29">
        <v>0.61499999999999999</v>
      </c>
      <c r="H28" s="30"/>
      <c r="I28" s="32"/>
      <c r="J28" s="30">
        <v>0.01</v>
      </c>
      <c r="K28" s="30"/>
      <c r="L28" s="32"/>
      <c r="M28" s="29"/>
      <c r="N28" s="31"/>
    </row>
  </sheetData>
  <mergeCells count="24">
    <mergeCell ref="B6:B8"/>
    <mergeCell ref="C6:C8"/>
    <mergeCell ref="M15:N15"/>
    <mergeCell ref="A16:C16"/>
    <mergeCell ref="D16:F16"/>
    <mergeCell ref="G16:I16"/>
    <mergeCell ref="G15:L15"/>
    <mergeCell ref="J16:L16"/>
    <mergeCell ref="D2:F2"/>
    <mergeCell ref="A15:F15"/>
    <mergeCell ref="A1:A14"/>
    <mergeCell ref="J1:O1"/>
    <mergeCell ref="J2:L2"/>
    <mergeCell ref="M2:O2"/>
    <mergeCell ref="B3:B5"/>
    <mergeCell ref="C3:C5"/>
    <mergeCell ref="D1:I1"/>
    <mergeCell ref="G2:I2"/>
    <mergeCell ref="B1:B2"/>
    <mergeCell ref="C1:C2"/>
    <mergeCell ref="B9:B11"/>
    <mergeCell ref="C9:C11"/>
    <mergeCell ref="B12:B14"/>
    <mergeCell ref="C12:C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28BE-D055-4BA4-8156-2BB5D7EB6F37}">
  <dimension ref="A1:M51"/>
  <sheetViews>
    <sheetView tabSelected="1" topLeftCell="A3" workbookViewId="0">
      <selection activeCell="X45" sqref="X45"/>
    </sheetView>
  </sheetViews>
  <sheetFormatPr defaultRowHeight="14.25" x14ac:dyDescent="0.2"/>
  <cols>
    <col min="1" max="1" width="13.25" customWidth="1"/>
    <col min="2" max="2" width="11.25" customWidth="1"/>
    <col min="3" max="3" width="7.375" style="3" customWidth="1"/>
  </cols>
  <sheetData>
    <row r="1" spans="1:13" ht="27" customHeight="1" x14ac:dyDescent="0.2">
      <c r="A1" s="76" t="s">
        <v>11</v>
      </c>
      <c r="B1" s="77"/>
      <c r="C1" s="78"/>
      <c r="D1" s="79" t="s">
        <v>0</v>
      </c>
      <c r="E1" s="75"/>
      <c r="F1" s="75" t="s">
        <v>1</v>
      </c>
      <c r="G1" s="75"/>
      <c r="H1" s="75" t="s">
        <v>2</v>
      </c>
      <c r="I1" s="75"/>
      <c r="J1" s="75" t="s">
        <v>3</v>
      </c>
      <c r="K1" s="75"/>
      <c r="L1" s="75" t="s">
        <v>4</v>
      </c>
      <c r="M1" s="75"/>
    </row>
    <row r="2" spans="1:13" ht="27" customHeight="1" x14ac:dyDescent="0.2">
      <c r="A2" s="44" t="s">
        <v>42</v>
      </c>
      <c r="B2" s="44" t="s">
        <v>105</v>
      </c>
      <c r="C2" s="41"/>
      <c r="D2" s="10" t="s">
        <v>5</v>
      </c>
      <c r="E2" s="14" t="s">
        <v>6</v>
      </c>
      <c r="F2" s="10" t="s">
        <v>5</v>
      </c>
      <c r="G2" s="15" t="s">
        <v>6</v>
      </c>
      <c r="H2" s="10" t="s">
        <v>5</v>
      </c>
      <c r="I2" s="15" t="s">
        <v>6</v>
      </c>
      <c r="J2" s="41" t="s">
        <v>5</v>
      </c>
      <c r="K2" s="15" t="s">
        <v>6</v>
      </c>
      <c r="L2" s="8" t="s">
        <v>5</v>
      </c>
      <c r="M2" s="9" t="s">
        <v>6</v>
      </c>
    </row>
    <row r="3" spans="1:13" ht="14.1" customHeight="1" x14ac:dyDescent="0.2">
      <c r="A3" s="69" t="s">
        <v>112</v>
      </c>
      <c r="B3" s="70" t="s">
        <v>111</v>
      </c>
      <c r="C3" s="41" t="s">
        <v>108</v>
      </c>
      <c r="D3" s="10">
        <v>82.5</v>
      </c>
      <c r="E3" s="15">
        <v>94.5</v>
      </c>
      <c r="F3" s="10">
        <v>36</v>
      </c>
      <c r="G3" s="15">
        <v>82.5</v>
      </c>
      <c r="H3" s="10">
        <v>78</v>
      </c>
      <c r="I3" s="15">
        <v>96.5</v>
      </c>
      <c r="J3" s="10">
        <v>63</v>
      </c>
      <c r="K3" s="15">
        <v>93.5</v>
      </c>
      <c r="L3" s="10">
        <f>AVERAGE(D3,F3,H3,J3)</f>
        <v>64.875</v>
      </c>
      <c r="M3" s="15">
        <f>AVERAGE(E3,G3,I3,K3)</f>
        <v>91.75</v>
      </c>
    </row>
    <row r="4" spans="1:13" x14ac:dyDescent="0.2">
      <c r="A4" s="69"/>
      <c r="B4" s="70"/>
      <c r="C4" s="42" t="s">
        <v>109</v>
      </c>
      <c r="D4" s="2">
        <v>82.5</v>
      </c>
      <c r="E4" s="4">
        <v>98.5</v>
      </c>
      <c r="F4" s="2">
        <v>49</v>
      </c>
      <c r="G4" s="4">
        <v>88</v>
      </c>
      <c r="H4" s="2">
        <v>88.5</v>
      </c>
      <c r="I4" s="4">
        <v>94</v>
      </c>
      <c r="J4" s="2">
        <v>51</v>
      </c>
      <c r="K4" s="4">
        <v>91</v>
      </c>
      <c r="L4" s="2">
        <f t="shared" ref="L4:L5" si="0">AVERAGE(D4,F4,H4,J4)</f>
        <v>67.75</v>
      </c>
      <c r="M4" s="4">
        <f t="shared" ref="M4:M5" si="1">AVERAGE(E4,G4,I4,K4)</f>
        <v>92.875</v>
      </c>
    </row>
    <row r="5" spans="1:13" x14ac:dyDescent="0.2">
      <c r="A5" s="69"/>
      <c r="B5" s="70"/>
      <c r="C5" s="42" t="s">
        <v>110</v>
      </c>
      <c r="D5" s="50">
        <v>81</v>
      </c>
      <c r="E5" s="4">
        <v>95</v>
      </c>
      <c r="F5" s="2">
        <v>49</v>
      </c>
      <c r="G5" s="4">
        <v>74</v>
      </c>
      <c r="H5" s="2">
        <v>82.5</v>
      </c>
      <c r="I5" s="4">
        <v>96</v>
      </c>
      <c r="J5" s="50">
        <v>60</v>
      </c>
      <c r="K5" s="51">
        <v>94</v>
      </c>
      <c r="L5" s="2">
        <f t="shared" si="0"/>
        <v>68.125</v>
      </c>
      <c r="M5" s="4">
        <f t="shared" si="1"/>
        <v>89.75</v>
      </c>
    </row>
    <row r="6" spans="1:13" x14ac:dyDescent="0.2">
      <c r="A6" s="69"/>
      <c r="B6" s="70"/>
      <c r="C6" s="2" t="s">
        <v>106</v>
      </c>
      <c r="D6" s="61">
        <f>AVERAGE(D3:D5)</f>
        <v>82</v>
      </c>
      <c r="E6" s="62">
        <f t="shared" ref="E6:J6" si="2">AVERAGE(E3:E5)</f>
        <v>96</v>
      </c>
      <c r="F6" s="61">
        <f>AVERAGE(F3:F5)</f>
        <v>44.666666666666664</v>
      </c>
      <c r="G6" s="62">
        <f>AVERAGE(G3:G5)</f>
        <v>81.5</v>
      </c>
      <c r="H6" s="61">
        <f>AVERAGE(H3:H5)</f>
        <v>83</v>
      </c>
      <c r="I6" s="62">
        <f t="shared" si="2"/>
        <v>95.5</v>
      </c>
      <c r="J6" s="61">
        <f t="shared" si="2"/>
        <v>58</v>
      </c>
      <c r="K6" s="62">
        <f>AVERAGE(K3:K5)</f>
        <v>92.833333333333329</v>
      </c>
      <c r="L6" s="26">
        <f>AVERAGE(D6,F6,H6,J6)</f>
        <v>66.916666666666657</v>
      </c>
      <c r="M6" s="26">
        <f>AVERAGE(E6,G6,I6,K6)</f>
        <v>91.458333333333329</v>
      </c>
    </row>
    <row r="7" spans="1:13" x14ac:dyDescent="0.2">
      <c r="A7" s="69"/>
      <c r="B7" s="70"/>
      <c r="C7" s="2" t="s">
        <v>107</v>
      </c>
      <c r="D7" s="5">
        <f>_xlfn.VAR.P(D3:D5)</f>
        <v>0.5</v>
      </c>
      <c r="E7" s="7">
        <f>_xlfn.VAR.P(E3:E5)</f>
        <v>3.1666666666666665</v>
      </c>
      <c r="F7" s="5">
        <f>_xlfn.VAR.P(F3:F5)</f>
        <v>37.555555555555557</v>
      </c>
      <c r="G7" s="7">
        <f>_xlfn.VAR.P(G3:G5)</f>
        <v>33.166666666666664</v>
      </c>
      <c r="H7" s="5">
        <f>_xlfn.VAR.P(H3:H5)</f>
        <v>18.5</v>
      </c>
      <c r="I7" s="7">
        <f t="shared" ref="I7:K7" si="3">_xlfn.VAR.P(I3:I5)</f>
        <v>1.1666666666666667</v>
      </c>
      <c r="J7" s="5">
        <f t="shared" si="3"/>
        <v>26</v>
      </c>
      <c r="K7" s="7">
        <f t="shared" si="3"/>
        <v>1.7222222222222223</v>
      </c>
      <c r="L7" s="47"/>
      <c r="M7" s="48"/>
    </row>
    <row r="8" spans="1:13" x14ac:dyDescent="0.2">
      <c r="A8" s="69"/>
      <c r="B8" s="70"/>
      <c r="C8" s="43"/>
      <c r="D8" s="55" t="s">
        <v>122</v>
      </c>
      <c r="E8" s="56" t="s">
        <v>121</v>
      </c>
      <c r="F8" s="55" t="s">
        <v>120</v>
      </c>
      <c r="G8" s="56" t="s">
        <v>123</v>
      </c>
      <c r="H8" s="55" t="s">
        <v>116</v>
      </c>
      <c r="I8" s="56" t="s">
        <v>117</v>
      </c>
      <c r="J8" s="55" t="s">
        <v>118</v>
      </c>
      <c r="K8" s="56" t="s">
        <v>119</v>
      </c>
      <c r="L8" s="47"/>
      <c r="M8" s="48"/>
    </row>
    <row r="9" spans="1:13" x14ac:dyDescent="0.2">
      <c r="A9" s="69" t="s">
        <v>112</v>
      </c>
      <c r="B9" s="70" t="s">
        <v>113</v>
      </c>
      <c r="C9" s="41" t="s">
        <v>108</v>
      </c>
      <c r="D9" s="10">
        <v>80</v>
      </c>
      <c r="E9" s="15">
        <v>93</v>
      </c>
      <c r="F9" s="10">
        <v>44</v>
      </c>
      <c r="G9" s="15">
        <v>51</v>
      </c>
      <c r="H9" s="10">
        <v>77.5</v>
      </c>
      <c r="I9" s="15">
        <v>91</v>
      </c>
      <c r="J9" s="10">
        <v>53</v>
      </c>
      <c r="K9" s="14">
        <v>89</v>
      </c>
      <c r="L9" s="10">
        <f t="shared" ref="L9:L11" si="4">AVERAGE(D9,F9,H9,J9)</f>
        <v>63.625</v>
      </c>
      <c r="M9" s="15">
        <f t="shared" ref="M9:M11" si="5">AVERAGE(E9,G9,I9,K9)</f>
        <v>81</v>
      </c>
    </row>
    <row r="10" spans="1:13" ht="15.6" customHeight="1" x14ac:dyDescent="0.2">
      <c r="A10" s="69"/>
      <c r="B10" s="70"/>
      <c r="C10" s="42" t="s">
        <v>109</v>
      </c>
      <c r="D10" s="2">
        <v>68</v>
      </c>
      <c r="E10" s="4">
        <v>96</v>
      </c>
      <c r="F10" s="2">
        <v>22</v>
      </c>
      <c r="G10" s="4">
        <v>59.5</v>
      </c>
      <c r="H10" s="2">
        <v>86.5</v>
      </c>
      <c r="I10" s="4">
        <v>92</v>
      </c>
      <c r="J10" s="2">
        <v>50.5</v>
      </c>
      <c r="K10" s="3">
        <v>88.5</v>
      </c>
      <c r="L10" s="2">
        <f t="shared" si="4"/>
        <v>56.75</v>
      </c>
      <c r="M10" s="4">
        <f t="shared" si="5"/>
        <v>84</v>
      </c>
    </row>
    <row r="11" spans="1:13" x14ac:dyDescent="0.2">
      <c r="A11" s="69"/>
      <c r="B11" s="70"/>
      <c r="C11" s="42" t="s">
        <v>110</v>
      </c>
      <c r="D11" s="50">
        <v>67.5</v>
      </c>
      <c r="E11" s="4">
        <v>94</v>
      </c>
      <c r="F11" s="2">
        <v>44</v>
      </c>
      <c r="G11" s="4">
        <v>48</v>
      </c>
      <c r="H11" s="2">
        <v>83.5</v>
      </c>
      <c r="I11" s="4">
        <v>98</v>
      </c>
      <c r="J11" s="50">
        <v>67</v>
      </c>
      <c r="K11" s="45">
        <v>91.5</v>
      </c>
      <c r="L11" s="5">
        <f t="shared" si="4"/>
        <v>65.5</v>
      </c>
      <c r="M11" s="7">
        <f t="shared" si="5"/>
        <v>82.875</v>
      </c>
    </row>
    <row r="12" spans="1:13" x14ac:dyDescent="0.2">
      <c r="A12" s="69"/>
      <c r="B12" s="70"/>
      <c r="C12" s="42" t="s">
        <v>106</v>
      </c>
      <c r="D12" s="60">
        <f t="shared" ref="D12" si="6">AVERAGE(D9:D11)</f>
        <v>71.833333333333329</v>
      </c>
      <c r="E12" s="60">
        <f t="shared" ref="E12" si="7">AVERAGE(E9:E11)</f>
        <v>94.333333333333329</v>
      </c>
      <c r="F12" s="60">
        <f t="shared" ref="F12" si="8">AVERAGE(F9:F11)</f>
        <v>36.666666666666664</v>
      </c>
      <c r="G12" s="60">
        <f t="shared" ref="G12" si="9">AVERAGE(G9:G11)</f>
        <v>52.833333333333336</v>
      </c>
      <c r="H12" s="60">
        <f t="shared" ref="H12" si="10">AVERAGE(H9:H11)</f>
        <v>82.5</v>
      </c>
      <c r="I12" s="60">
        <f t="shared" ref="I12" si="11">AVERAGE(I9:I11)</f>
        <v>93.666666666666671</v>
      </c>
      <c r="J12" s="60">
        <f t="shared" ref="J12" si="12">AVERAGE(J9:J11)</f>
        <v>56.833333333333336</v>
      </c>
      <c r="K12" s="60">
        <f>AVERAGE(K9:K11)</f>
        <v>89.666666666666671</v>
      </c>
      <c r="L12" s="43">
        <f t="shared" ref="L12" si="13">AVERAGE(D12,F12,H12,J12)</f>
        <v>61.958333333333336</v>
      </c>
      <c r="M12" s="43">
        <f t="shared" ref="M12" si="14">AVERAGE(E12,G12,I12,K12)</f>
        <v>82.625</v>
      </c>
    </row>
    <row r="13" spans="1:13" x14ac:dyDescent="0.2">
      <c r="A13" s="69"/>
      <c r="B13" s="70"/>
      <c r="C13" s="42" t="s">
        <v>107</v>
      </c>
      <c r="D13" s="26">
        <f>_xlfn.VAR.P(D9:D11)</f>
        <v>33.388888888888893</v>
      </c>
      <c r="E13" s="26">
        <f t="shared" ref="E13:K13" si="15">_xlfn.VAR.P(E9:E11)</f>
        <v>1.5555555555555556</v>
      </c>
      <c r="F13" s="26">
        <f t="shared" si="15"/>
        <v>107.55555555555556</v>
      </c>
      <c r="G13" s="26">
        <f t="shared" si="15"/>
        <v>23.722222222222225</v>
      </c>
      <c r="H13" s="26">
        <f t="shared" si="15"/>
        <v>14</v>
      </c>
      <c r="I13" s="26">
        <f t="shared" si="15"/>
        <v>9.5555555555555554</v>
      </c>
      <c r="J13" s="26">
        <f t="shared" si="15"/>
        <v>52.722222222222221</v>
      </c>
      <c r="K13" s="26">
        <f t="shared" si="15"/>
        <v>1.7222222222222223</v>
      </c>
      <c r="L13" s="47"/>
      <c r="M13" s="48"/>
    </row>
    <row r="14" spans="1:13" x14ac:dyDescent="0.2">
      <c r="A14" s="69"/>
      <c r="B14" s="70"/>
      <c r="C14" s="43"/>
      <c r="D14" s="49"/>
      <c r="E14" s="46"/>
      <c r="F14" s="49"/>
      <c r="G14" s="46"/>
      <c r="H14" s="49"/>
      <c r="I14" s="46"/>
      <c r="J14" s="49"/>
      <c r="K14" s="46"/>
      <c r="L14" s="49"/>
      <c r="M14" s="46"/>
    </row>
    <row r="15" spans="1:13" x14ac:dyDescent="0.2">
      <c r="A15" s="69" t="s">
        <v>112</v>
      </c>
      <c r="B15" s="70" t="s">
        <v>114</v>
      </c>
      <c r="C15" s="41" t="s">
        <v>108</v>
      </c>
      <c r="D15" s="10">
        <v>70.5</v>
      </c>
      <c r="E15" s="15">
        <v>93</v>
      </c>
      <c r="F15" s="10">
        <v>18.5</v>
      </c>
      <c r="G15" s="15">
        <v>81.5</v>
      </c>
      <c r="H15" s="10">
        <v>84</v>
      </c>
      <c r="I15" s="15">
        <v>94</v>
      </c>
      <c r="J15" s="10">
        <v>54</v>
      </c>
      <c r="K15" s="64">
        <v>1</v>
      </c>
      <c r="L15" s="10">
        <f>AVERAGE(D15,F15,H15,J15)</f>
        <v>56.75</v>
      </c>
      <c r="M15" s="15">
        <f>AVERAGE(E15,G15,I15,K15)</f>
        <v>67.375</v>
      </c>
    </row>
    <row r="16" spans="1:13" x14ac:dyDescent="0.2">
      <c r="A16" s="69"/>
      <c r="B16" s="70"/>
      <c r="C16" s="42" t="s">
        <v>109</v>
      </c>
      <c r="D16" s="2">
        <v>39</v>
      </c>
      <c r="E16" s="4">
        <v>96</v>
      </c>
      <c r="F16" s="2">
        <v>46</v>
      </c>
      <c r="G16" s="4">
        <v>69.5</v>
      </c>
      <c r="H16" s="2">
        <v>65.5</v>
      </c>
      <c r="I16" s="4">
        <v>89</v>
      </c>
      <c r="J16" s="2">
        <v>64</v>
      </c>
      <c r="K16" s="65">
        <v>35</v>
      </c>
      <c r="L16" s="2">
        <f t="shared" ref="L16:L17" si="16">AVERAGE(D16,F16,H16,J16)</f>
        <v>53.625</v>
      </c>
      <c r="M16" s="4">
        <f t="shared" ref="M16:M17" si="17">AVERAGE(E16,G16,I16,K16)</f>
        <v>72.375</v>
      </c>
    </row>
    <row r="17" spans="1:13" x14ac:dyDescent="0.2">
      <c r="A17" s="69"/>
      <c r="B17" s="70"/>
      <c r="C17" s="42" t="s">
        <v>110</v>
      </c>
      <c r="D17" s="50">
        <v>77.5</v>
      </c>
      <c r="E17" s="4">
        <v>88</v>
      </c>
      <c r="F17" s="2">
        <v>54.5</v>
      </c>
      <c r="G17" s="4">
        <v>96</v>
      </c>
      <c r="H17" s="2">
        <v>86.5</v>
      </c>
      <c r="I17" s="4">
        <v>95.5</v>
      </c>
      <c r="J17" s="50">
        <v>58</v>
      </c>
      <c r="K17" s="66">
        <v>83</v>
      </c>
      <c r="L17" s="2">
        <f t="shared" si="16"/>
        <v>69.125</v>
      </c>
      <c r="M17" s="4">
        <f t="shared" si="17"/>
        <v>90.625</v>
      </c>
    </row>
    <row r="18" spans="1:13" x14ac:dyDescent="0.2">
      <c r="A18" s="69"/>
      <c r="B18" s="70"/>
      <c r="C18" s="42" t="s">
        <v>106</v>
      </c>
      <c r="D18" s="60">
        <f t="shared" ref="D18" si="18">AVERAGE(D15:D17)</f>
        <v>62.333333333333336</v>
      </c>
      <c r="E18" s="60">
        <f t="shared" ref="E18" si="19">AVERAGE(E15:E17)</f>
        <v>92.333333333333329</v>
      </c>
      <c r="F18" s="60">
        <f t="shared" ref="F18" si="20">AVERAGE(F15:F17)</f>
        <v>39.666666666666664</v>
      </c>
      <c r="G18" s="60">
        <f t="shared" ref="G18" si="21">AVERAGE(G15:G17)</f>
        <v>82.333333333333329</v>
      </c>
      <c r="H18" s="60">
        <f t="shared" ref="H18" si="22">AVERAGE(H15:H17)</f>
        <v>78.666666666666671</v>
      </c>
      <c r="I18" s="60">
        <f t="shared" ref="I18" si="23">AVERAGE(I15:I17)</f>
        <v>92.833333333333329</v>
      </c>
      <c r="J18" s="60">
        <f>AVERAGE(J15:J17)</f>
        <v>58.666666666666664</v>
      </c>
      <c r="K18" s="60">
        <f>AVERAGE(K15:K17)</f>
        <v>39.666666666666664</v>
      </c>
      <c r="L18" s="26">
        <f>AVERAGE(D18,F18,H18,J18)</f>
        <v>59.833333333333336</v>
      </c>
      <c r="M18" s="26">
        <f>AVERAGE(E18,G18,I18,K18)</f>
        <v>76.791666666666671</v>
      </c>
    </row>
    <row r="19" spans="1:13" x14ac:dyDescent="0.2">
      <c r="A19" s="69"/>
      <c r="B19" s="70"/>
      <c r="C19" s="42" t="s">
        <v>107</v>
      </c>
      <c r="D19" s="26">
        <f>_xlfn.VAR.P(D15:D17)</f>
        <v>280.38888888888891</v>
      </c>
      <c r="E19" s="26">
        <f t="shared" ref="E19:K19" si="24">_xlfn.VAR.P(E15:E17)</f>
        <v>10.888888888888888</v>
      </c>
      <c r="F19" s="26">
        <f t="shared" si="24"/>
        <v>236.05555555555554</v>
      </c>
      <c r="G19" s="26">
        <f t="shared" si="24"/>
        <v>117.38888888888889</v>
      </c>
      <c r="H19" s="26">
        <f t="shared" si="24"/>
        <v>87.722222222222229</v>
      </c>
      <c r="I19" s="26">
        <f t="shared" si="24"/>
        <v>7.7222222222222214</v>
      </c>
      <c r="J19" s="26">
        <f t="shared" si="24"/>
        <v>16.888888888888889</v>
      </c>
      <c r="K19" s="26">
        <f t="shared" si="24"/>
        <v>1131.5555555555557</v>
      </c>
      <c r="L19" s="47"/>
      <c r="M19" s="48"/>
    </row>
    <row r="20" spans="1:13" ht="15" thickBot="1" x14ac:dyDescent="0.25">
      <c r="A20" s="74"/>
      <c r="B20" s="73"/>
      <c r="C20" s="63"/>
      <c r="D20" s="67"/>
      <c r="E20" s="68"/>
      <c r="F20" s="67"/>
      <c r="G20" s="68"/>
      <c r="H20" s="67"/>
      <c r="I20" s="68"/>
      <c r="J20" s="67"/>
      <c r="K20" s="68"/>
      <c r="L20" s="67"/>
      <c r="M20" s="68"/>
    </row>
    <row r="21" spans="1:13" x14ac:dyDescent="0.2">
      <c r="A21" s="71" t="s">
        <v>124</v>
      </c>
      <c r="B21" s="72" t="s">
        <v>111</v>
      </c>
      <c r="C21" s="42" t="s">
        <v>108</v>
      </c>
      <c r="D21" s="2">
        <v>81</v>
      </c>
      <c r="E21" s="4">
        <v>91.5</v>
      </c>
      <c r="F21" s="2">
        <v>42.5</v>
      </c>
      <c r="G21" s="4">
        <v>77.5</v>
      </c>
      <c r="H21" s="2">
        <v>77</v>
      </c>
      <c r="I21" s="4">
        <v>97</v>
      </c>
      <c r="J21" s="2" t="s">
        <v>130</v>
      </c>
      <c r="K21" s="4">
        <v>90</v>
      </c>
      <c r="L21" s="2">
        <f>AVERAGE(D21,F21,H21,J21)</f>
        <v>66.833333333333329</v>
      </c>
      <c r="M21" s="4">
        <f>AVERAGE(E21,G21,I21,K21)</f>
        <v>89</v>
      </c>
    </row>
    <row r="22" spans="1:13" x14ac:dyDescent="0.2">
      <c r="A22" s="69"/>
      <c r="B22" s="70"/>
      <c r="C22" s="42" t="s">
        <v>109</v>
      </c>
      <c r="D22" s="2">
        <v>77</v>
      </c>
      <c r="E22" s="4">
        <v>95.5</v>
      </c>
      <c r="F22" s="2">
        <v>26.5</v>
      </c>
      <c r="G22" s="4">
        <v>46</v>
      </c>
      <c r="H22" s="2">
        <v>76</v>
      </c>
      <c r="I22" s="4">
        <v>94.5</v>
      </c>
      <c r="J22" s="2">
        <v>61</v>
      </c>
      <c r="K22" s="4">
        <v>88</v>
      </c>
      <c r="L22" s="2">
        <f t="shared" ref="L22:L23" si="25">AVERAGE(D22,F22,H22,J22)</f>
        <v>60.125</v>
      </c>
      <c r="M22" s="4">
        <f t="shared" ref="M22:M23" si="26">AVERAGE(E22,G22,I22,K22)</f>
        <v>81</v>
      </c>
    </row>
    <row r="23" spans="1:13" x14ac:dyDescent="0.2">
      <c r="A23" s="69"/>
      <c r="B23" s="70"/>
      <c r="C23" s="42" t="s">
        <v>110</v>
      </c>
      <c r="D23" s="50">
        <v>76</v>
      </c>
      <c r="E23" s="4">
        <v>95</v>
      </c>
      <c r="F23" s="2">
        <v>59.5</v>
      </c>
      <c r="G23" s="4">
        <v>52.5</v>
      </c>
      <c r="H23" s="2">
        <v>84</v>
      </c>
      <c r="I23" s="4">
        <v>95</v>
      </c>
      <c r="J23" s="2">
        <v>54.5</v>
      </c>
      <c r="K23" s="4">
        <v>90.5</v>
      </c>
      <c r="L23" s="2">
        <f t="shared" si="25"/>
        <v>68.5</v>
      </c>
      <c r="M23" s="4">
        <f t="shared" si="26"/>
        <v>83.25</v>
      </c>
    </row>
    <row r="24" spans="1:13" ht="17.45" customHeight="1" x14ac:dyDescent="0.2">
      <c r="A24" s="69"/>
      <c r="B24" s="70"/>
      <c r="C24" s="42" t="s">
        <v>106</v>
      </c>
      <c r="D24" s="60">
        <f t="shared" ref="D24:I24" si="27">AVERAGE(D21:D23)</f>
        <v>78</v>
      </c>
      <c r="E24" s="60">
        <f t="shared" si="27"/>
        <v>94</v>
      </c>
      <c r="F24" s="60">
        <f t="shared" si="27"/>
        <v>42.833333333333336</v>
      </c>
      <c r="G24" s="60">
        <f>AVERAGE(G21:G23)</f>
        <v>58.666666666666664</v>
      </c>
      <c r="H24" s="60">
        <f t="shared" si="27"/>
        <v>79</v>
      </c>
      <c r="I24" s="60">
        <f t="shared" si="27"/>
        <v>95.5</v>
      </c>
      <c r="J24" s="60">
        <f>AVERAGE(J21:J23)</f>
        <v>57.75</v>
      </c>
      <c r="K24" s="60">
        <f>AVERAGE(K21:K23)</f>
        <v>89.5</v>
      </c>
      <c r="L24" s="26">
        <f>AVERAGE(D24,F24,H24,J24)</f>
        <v>64.395833333333343</v>
      </c>
      <c r="M24" s="26">
        <f>AVERAGE(E24,G24,I24,K24)</f>
        <v>84.416666666666657</v>
      </c>
    </row>
    <row r="25" spans="1:13" x14ac:dyDescent="0.2">
      <c r="A25" s="69"/>
      <c r="B25" s="70"/>
      <c r="C25" s="42" t="s">
        <v>107</v>
      </c>
      <c r="D25" s="26">
        <f>_xlfn.VAR.P(D21:D23)</f>
        <v>4.666666666666667</v>
      </c>
      <c r="E25" s="26">
        <f t="shared" ref="E25:K25" si="28">_xlfn.VAR.P(E21:E23)</f>
        <v>3.1666666666666665</v>
      </c>
      <c r="F25" s="26">
        <f t="shared" si="28"/>
        <v>181.55555555555554</v>
      </c>
      <c r="G25" s="26">
        <f t="shared" si="28"/>
        <v>184.38888888888889</v>
      </c>
      <c r="H25" s="26">
        <f t="shared" si="28"/>
        <v>12.666666666666666</v>
      </c>
      <c r="I25" s="26">
        <f t="shared" si="28"/>
        <v>1.1666666666666667</v>
      </c>
      <c r="J25" s="26">
        <f t="shared" si="28"/>
        <v>10.5625</v>
      </c>
      <c r="K25" s="26">
        <f t="shared" si="28"/>
        <v>1.1666666666666667</v>
      </c>
      <c r="L25" s="47"/>
      <c r="M25" s="48"/>
    </row>
    <row r="26" spans="1:13" x14ac:dyDescent="0.2">
      <c r="A26" s="69"/>
      <c r="B26" s="70"/>
      <c r="C26" s="43"/>
      <c r="D26" s="49"/>
      <c r="E26" s="46"/>
      <c r="F26" s="49"/>
      <c r="G26" s="46"/>
      <c r="H26" s="49"/>
      <c r="I26" s="46"/>
      <c r="J26" s="49"/>
      <c r="K26" s="46"/>
      <c r="L26" s="49"/>
      <c r="M26" s="46"/>
    </row>
    <row r="27" spans="1:13" ht="14.1" customHeight="1" x14ac:dyDescent="0.2">
      <c r="A27" s="69" t="s">
        <v>124</v>
      </c>
      <c r="B27" s="70" t="s">
        <v>113</v>
      </c>
      <c r="C27" s="41" t="s">
        <v>108</v>
      </c>
      <c r="D27" s="10">
        <v>67</v>
      </c>
      <c r="E27" s="15">
        <v>95.5</v>
      </c>
      <c r="F27" s="10">
        <v>23</v>
      </c>
      <c r="G27" s="15">
        <v>89</v>
      </c>
      <c r="H27" s="10">
        <v>75.5</v>
      </c>
      <c r="I27" s="15">
        <v>97.5</v>
      </c>
      <c r="J27" s="10">
        <v>52.5</v>
      </c>
      <c r="K27" s="15">
        <v>90.5</v>
      </c>
      <c r="L27" s="10">
        <f>AVERAGE(D27,F27,H27,J27)</f>
        <v>54.5</v>
      </c>
      <c r="M27" s="15">
        <f>AVERAGE(E27,G27,I27,K27)</f>
        <v>93.125</v>
      </c>
    </row>
    <row r="28" spans="1:13" x14ac:dyDescent="0.2">
      <c r="A28" s="69"/>
      <c r="B28" s="70"/>
      <c r="C28" s="42" t="s">
        <v>109</v>
      </c>
      <c r="D28" s="2">
        <v>74</v>
      </c>
      <c r="E28" s="4">
        <v>93.5</v>
      </c>
      <c r="F28" s="2">
        <v>29.5</v>
      </c>
      <c r="G28" s="4">
        <v>92</v>
      </c>
      <c r="H28" s="2">
        <v>69.5</v>
      </c>
      <c r="I28" s="4">
        <v>94.5</v>
      </c>
      <c r="J28" s="2">
        <v>63.5</v>
      </c>
      <c r="K28" s="4">
        <v>86.5</v>
      </c>
      <c r="L28" s="2">
        <f t="shared" ref="L28:L29" si="29">AVERAGE(D28,F28,H28,J28)</f>
        <v>59.125</v>
      </c>
      <c r="M28" s="4">
        <f t="shared" ref="M28:M29" si="30">AVERAGE(E28,G28,I28,K28)</f>
        <v>91.625</v>
      </c>
    </row>
    <row r="29" spans="1:13" x14ac:dyDescent="0.2">
      <c r="A29" s="69"/>
      <c r="B29" s="70"/>
      <c r="C29" s="42" t="s">
        <v>110</v>
      </c>
      <c r="D29" s="50">
        <v>73.5</v>
      </c>
      <c r="E29" s="4">
        <v>92</v>
      </c>
      <c r="F29" s="2">
        <v>11.5</v>
      </c>
      <c r="G29" s="4">
        <v>90</v>
      </c>
      <c r="H29" s="2">
        <v>76.5</v>
      </c>
      <c r="I29" s="4">
        <v>95</v>
      </c>
      <c r="J29" s="2">
        <v>56.5</v>
      </c>
      <c r="K29" s="4">
        <v>90</v>
      </c>
      <c r="L29" s="2">
        <f t="shared" si="29"/>
        <v>54.5</v>
      </c>
      <c r="M29" s="4">
        <f t="shared" si="30"/>
        <v>91.75</v>
      </c>
    </row>
    <row r="30" spans="1:13" x14ac:dyDescent="0.2">
      <c r="A30" s="69"/>
      <c r="B30" s="70"/>
      <c r="C30" s="42" t="s">
        <v>106</v>
      </c>
      <c r="D30" s="60">
        <f t="shared" ref="D30:I30" si="31">AVERAGE(D27:D29)</f>
        <v>71.5</v>
      </c>
      <c r="E30" s="60">
        <f t="shared" si="31"/>
        <v>93.666666666666671</v>
      </c>
      <c r="F30" s="60">
        <f t="shared" si="31"/>
        <v>21.333333333333332</v>
      </c>
      <c r="G30" s="60">
        <f>AVERAGE(G27:G29)</f>
        <v>90.333333333333329</v>
      </c>
      <c r="H30" s="60">
        <f t="shared" si="31"/>
        <v>73.833333333333329</v>
      </c>
      <c r="I30" s="60">
        <f t="shared" si="31"/>
        <v>95.666666666666671</v>
      </c>
      <c r="J30" s="60">
        <f>AVERAGE(J27:J29)</f>
        <v>57.5</v>
      </c>
      <c r="K30" s="60">
        <f>AVERAGE(K27:K29)</f>
        <v>89</v>
      </c>
      <c r="L30" s="26">
        <f>AVERAGE(D30,F30,H30,J30)</f>
        <v>56.041666666666664</v>
      </c>
      <c r="M30" s="26">
        <f>AVERAGE(E30,G30,I30,K30)</f>
        <v>92.166666666666671</v>
      </c>
    </row>
    <row r="31" spans="1:13" x14ac:dyDescent="0.2">
      <c r="A31" s="69"/>
      <c r="B31" s="70"/>
      <c r="C31" s="42" t="s">
        <v>107</v>
      </c>
      <c r="D31" s="26">
        <f>_xlfn.VAR.P(D27:D29)</f>
        <v>10.166666666666666</v>
      </c>
      <c r="E31" s="26">
        <f t="shared" ref="E31:K31" si="32">_xlfn.VAR.P(E27:E29)</f>
        <v>2.0555555555555558</v>
      </c>
      <c r="F31" s="26">
        <f t="shared" si="32"/>
        <v>55.388888888888886</v>
      </c>
      <c r="G31" s="26">
        <f t="shared" si="32"/>
        <v>1.5555555555555556</v>
      </c>
      <c r="H31" s="26">
        <f t="shared" si="32"/>
        <v>9.5555555555555554</v>
      </c>
      <c r="I31" s="26">
        <f t="shared" si="32"/>
        <v>1.7222222222222223</v>
      </c>
      <c r="J31" s="26">
        <f t="shared" si="32"/>
        <v>20.666666666666668</v>
      </c>
      <c r="K31" s="26">
        <f t="shared" si="32"/>
        <v>3.1666666666666665</v>
      </c>
      <c r="L31" s="47"/>
      <c r="M31" s="48"/>
    </row>
    <row r="32" spans="1:13" x14ac:dyDescent="0.2">
      <c r="A32" s="69"/>
      <c r="B32" s="70"/>
      <c r="C32" s="43"/>
      <c r="D32" s="49"/>
      <c r="E32" s="46"/>
      <c r="F32" s="49"/>
      <c r="G32" s="46"/>
      <c r="H32" s="49"/>
      <c r="I32" s="46"/>
      <c r="J32" s="49"/>
      <c r="K32" s="46"/>
      <c r="L32" s="49"/>
      <c r="M32" s="46"/>
    </row>
    <row r="33" spans="1:13" x14ac:dyDescent="0.2">
      <c r="A33" s="69" t="s">
        <v>124</v>
      </c>
      <c r="B33" s="70" t="s">
        <v>129</v>
      </c>
      <c r="C33" s="41" t="s">
        <v>125</v>
      </c>
      <c r="D33" s="10">
        <v>65</v>
      </c>
      <c r="E33" s="15">
        <v>88.5</v>
      </c>
      <c r="F33" s="10">
        <v>0</v>
      </c>
      <c r="G33" s="15">
        <v>34.5</v>
      </c>
      <c r="H33" s="10">
        <v>26.5</v>
      </c>
      <c r="I33" s="15">
        <v>89</v>
      </c>
      <c r="J33" s="10">
        <v>42.5</v>
      </c>
      <c r="K33" s="15">
        <v>86.5</v>
      </c>
      <c r="L33" s="10">
        <f>AVERAGE(D33,F33,H33,J33)</f>
        <v>33.5</v>
      </c>
      <c r="M33" s="15">
        <f>AVERAGE(E33,G33,I33,K33)</f>
        <v>74.625</v>
      </c>
    </row>
    <row r="34" spans="1:13" x14ac:dyDescent="0.2">
      <c r="A34" s="69"/>
      <c r="B34" s="70"/>
      <c r="C34" s="42" t="s">
        <v>126</v>
      </c>
      <c r="D34" s="2">
        <v>71</v>
      </c>
      <c r="E34" s="4">
        <v>90.5</v>
      </c>
      <c r="F34" s="2">
        <v>1.5</v>
      </c>
      <c r="G34" s="4">
        <v>80.5</v>
      </c>
      <c r="H34" s="2">
        <v>40.5</v>
      </c>
      <c r="I34" s="4">
        <v>89</v>
      </c>
      <c r="J34" s="2">
        <v>50</v>
      </c>
      <c r="K34" s="4">
        <v>89</v>
      </c>
      <c r="L34" s="2">
        <f t="shared" ref="L34:L35" si="33">AVERAGE(D34,F34,H34,J34)</f>
        <v>40.75</v>
      </c>
      <c r="M34" s="4">
        <f t="shared" ref="M34:M35" si="34">AVERAGE(E34,G34,I34,K34)</f>
        <v>87.25</v>
      </c>
    </row>
    <row r="35" spans="1:13" x14ac:dyDescent="0.2">
      <c r="A35" s="69"/>
      <c r="B35" s="70"/>
      <c r="C35" s="42" t="s">
        <v>127</v>
      </c>
      <c r="D35" s="50">
        <v>63.5</v>
      </c>
      <c r="E35" s="4">
        <v>88.5</v>
      </c>
      <c r="F35" s="2">
        <v>4</v>
      </c>
      <c r="G35" s="4">
        <v>36</v>
      </c>
      <c r="H35" s="2">
        <v>67.5</v>
      </c>
      <c r="I35" s="4">
        <v>93.5</v>
      </c>
      <c r="J35" s="2">
        <v>53</v>
      </c>
      <c r="K35" s="4">
        <v>85.5</v>
      </c>
      <c r="L35" s="2">
        <f t="shared" si="33"/>
        <v>47</v>
      </c>
      <c r="M35" s="4">
        <f t="shared" si="34"/>
        <v>75.875</v>
      </c>
    </row>
    <row r="36" spans="1:13" x14ac:dyDescent="0.2">
      <c r="A36" s="69"/>
      <c r="B36" s="70"/>
      <c r="C36" s="42" t="s">
        <v>106</v>
      </c>
      <c r="D36" s="60">
        <f t="shared" ref="D36:F36" si="35">AVERAGE(D33:D35)</f>
        <v>66.5</v>
      </c>
      <c r="E36" s="60">
        <f t="shared" si="35"/>
        <v>89.166666666666671</v>
      </c>
      <c r="F36" s="60">
        <f t="shared" si="35"/>
        <v>1.8333333333333333</v>
      </c>
      <c r="G36" s="60">
        <f>AVERAGE(G33:G35)</f>
        <v>50.333333333333336</v>
      </c>
      <c r="H36" s="60">
        <f t="shared" ref="H36:I36" si="36">AVERAGE(H33:H35)</f>
        <v>44.833333333333336</v>
      </c>
      <c r="I36" s="60">
        <f t="shared" si="36"/>
        <v>90.5</v>
      </c>
      <c r="J36" s="60">
        <f>AVERAGE(J33:J35)</f>
        <v>48.5</v>
      </c>
      <c r="K36" s="60">
        <f>AVERAGE(K33:K35)</f>
        <v>87</v>
      </c>
      <c r="L36" s="26">
        <f>AVERAGE(D36,F36,H36,J36)</f>
        <v>40.416666666666664</v>
      </c>
      <c r="M36" s="26">
        <f>AVERAGE(E36,G36,I36,K36)</f>
        <v>79.25</v>
      </c>
    </row>
    <row r="37" spans="1:13" ht="17.25" customHeight="1" x14ac:dyDescent="0.2">
      <c r="A37" s="69"/>
      <c r="B37" s="70"/>
      <c r="C37" s="42" t="s">
        <v>128</v>
      </c>
      <c r="D37" s="26">
        <f>_xlfn.VAR.P(D33:D35)</f>
        <v>10.5</v>
      </c>
      <c r="E37" s="26">
        <f t="shared" ref="E37:K37" si="37">_xlfn.VAR.P(E33:E35)</f>
        <v>0.88888888888888895</v>
      </c>
      <c r="F37" s="26">
        <f t="shared" si="37"/>
        <v>2.7222222222222223</v>
      </c>
      <c r="G37" s="26">
        <f t="shared" si="37"/>
        <v>455.38888888888891</v>
      </c>
      <c r="H37" s="26">
        <f t="shared" si="37"/>
        <v>289.55555555555554</v>
      </c>
      <c r="I37" s="26">
        <f t="shared" si="37"/>
        <v>4.5</v>
      </c>
      <c r="J37" s="26">
        <f t="shared" si="37"/>
        <v>19.5</v>
      </c>
      <c r="K37" s="26">
        <f t="shared" si="37"/>
        <v>2.1666666666666665</v>
      </c>
      <c r="L37" s="47"/>
      <c r="M37" s="48"/>
    </row>
    <row r="38" spans="1:13" x14ac:dyDescent="0.2">
      <c r="A38" s="69"/>
      <c r="B38" s="70"/>
      <c r="C38" s="43"/>
      <c r="D38" s="49"/>
      <c r="E38" s="46"/>
      <c r="F38" s="49"/>
      <c r="G38" s="46"/>
      <c r="H38" s="49"/>
      <c r="I38" s="46"/>
      <c r="J38" s="49"/>
      <c r="K38" s="46"/>
      <c r="L38" s="49"/>
      <c r="M38" s="46"/>
    </row>
    <row r="43" spans="1:13" x14ac:dyDescent="0.2">
      <c r="A43" s="57" t="s">
        <v>95</v>
      </c>
      <c r="B43" s="18" t="s">
        <v>7</v>
      </c>
      <c r="C43" s="41"/>
      <c r="D43" s="14" t="s">
        <v>19</v>
      </c>
      <c r="E43" s="15" t="s">
        <v>20</v>
      </c>
      <c r="F43" s="10" t="s">
        <v>21</v>
      </c>
      <c r="G43" s="22" t="s">
        <v>115</v>
      </c>
      <c r="H43" s="10" t="s">
        <v>22</v>
      </c>
      <c r="I43" s="15" t="s">
        <v>23</v>
      </c>
      <c r="J43" s="10" t="s">
        <v>24</v>
      </c>
      <c r="K43" s="15" t="s">
        <v>25</v>
      </c>
      <c r="L43" s="10">
        <v>58.8</v>
      </c>
      <c r="M43" s="15">
        <v>88.8</v>
      </c>
    </row>
    <row r="44" spans="1:13" x14ac:dyDescent="0.2">
      <c r="A44" s="58"/>
      <c r="B44" s="19" t="s">
        <v>12</v>
      </c>
      <c r="C44" s="42"/>
      <c r="D44" s="3" t="s">
        <v>26</v>
      </c>
      <c r="E44" s="4" t="s">
        <v>27</v>
      </c>
      <c r="F44" s="2" t="s">
        <v>28</v>
      </c>
      <c r="G44" s="4" t="s">
        <v>29</v>
      </c>
      <c r="H44" s="2" t="s">
        <v>30</v>
      </c>
      <c r="I44" s="4" t="s">
        <v>31</v>
      </c>
      <c r="J44" s="2" t="s">
        <v>32</v>
      </c>
      <c r="K44" s="4" t="s">
        <v>33</v>
      </c>
      <c r="L44" s="2">
        <v>61.5</v>
      </c>
      <c r="M44" s="4">
        <v>85.6</v>
      </c>
    </row>
    <row r="45" spans="1:13" x14ac:dyDescent="0.2">
      <c r="A45" s="59"/>
      <c r="B45" s="20" t="s">
        <v>13</v>
      </c>
      <c r="C45" s="43"/>
      <c r="D45" s="6" t="s">
        <v>34</v>
      </c>
      <c r="E45" s="7" t="s">
        <v>35</v>
      </c>
      <c r="F45" s="5" t="s">
        <v>36</v>
      </c>
      <c r="G45" s="7" t="s">
        <v>37</v>
      </c>
      <c r="H45" s="5" t="s">
        <v>38</v>
      </c>
      <c r="I45" s="7" t="s">
        <v>39</v>
      </c>
      <c r="J45" s="5" t="s">
        <v>40</v>
      </c>
      <c r="K45" s="7" t="s">
        <v>41</v>
      </c>
      <c r="L45" s="5">
        <v>71.599999999999994</v>
      </c>
      <c r="M45" s="7">
        <v>89.2</v>
      </c>
    </row>
    <row r="46" spans="1:13" x14ac:dyDescent="0.2">
      <c r="A46" s="57" t="s">
        <v>94</v>
      </c>
      <c r="B46" s="18" t="s">
        <v>7</v>
      </c>
      <c r="C46" s="41"/>
      <c r="D46" s="14" t="s">
        <v>43</v>
      </c>
      <c r="E46" s="15" t="s">
        <v>44</v>
      </c>
      <c r="F46" s="10" t="s">
        <v>45</v>
      </c>
      <c r="G46" s="15" t="s">
        <v>46</v>
      </c>
      <c r="H46" s="10" t="s">
        <v>47</v>
      </c>
      <c r="I46" s="15" t="s">
        <v>48</v>
      </c>
      <c r="J46" s="10" t="s">
        <v>49</v>
      </c>
      <c r="K46" s="15" t="s">
        <v>50</v>
      </c>
      <c r="L46" s="10">
        <v>64.400000000000006</v>
      </c>
      <c r="M46" s="15">
        <v>88.3</v>
      </c>
    </row>
    <row r="47" spans="1:13" x14ac:dyDescent="0.2">
      <c r="A47" s="58"/>
      <c r="B47" s="19" t="s">
        <v>12</v>
      </c>
      <c r="C47" s="42"/>
      <c r="D47" s="3" t="s">
        <v>51</v>
      </c>
      <c r="E47" s="4" t="s">
        <v>52</v>
      </c>
      <c r="F47" s="54" t="s">
        <v>53</v>
      </c>
      <c r="G47" s="53" t="s">
        <v>54</v>
      </c>
      <c r="H47" s="2" t="s">
        <v>55</v>
      </c>
      <c r="I47" s="4" t="s">
        <v>56</v>
      </c>
      <c r="J47" s="2" t="s">
        <v>57</v>
      </c>
      <c r="K47" s="4" t="s">
        <v>58</v>
      </c>
      <c r="L47" s="2">
        <v>71.400000000000006</v>
      </c>
      <c r="M47" s="52">
        <v>92.7</v>
      </c>
    </row>
    <row r="48" spans="1:13" x14ac:dyDescent="0.2">
      <c r="A48" s="58"/>
      <c r="B48" s="19" t="s">
        <v>13</v>
      </c>
      <c r="C48" s="43"/>
      <c r="D48" s="3" t="s">
        <v>59</v>
      </c>
      <c r="E48" s="4" t="s">
        <v>60</v>
      </c>
      <c r="F48" s="2" t="s">
        <v>60</v>
      </c>
      <c r="G48" s="4" t="s">
        <v>61</v>
      </c>
      <c r="H48" s="2" t="s">
        <v>62</v>
      </c>
      <c r="I48" s="4" t="s">
        <v>63</v>
      </c>
      <c r="J48" s="2" t="s">
        <v>64</v>
      </c>
      <c r="K48" s="4" t="s">
        <v>65</v>
      </c>
      <c r="L48" s="2">
        <v>74.5</v>
      </c>
      <c r="M48" s="4">
        <v>92.3</v>
      </c>
    </row>
    <row r="49" spans="1:13" x14ac:dyDescent="0.2">
      <c r="A49" s="57" t="s">
        <v>93</v>
      </c>
      <c r="B49" s="18" t="s">
        <v>10</v>
      </c>
      <c r="C49" s="41"/>
      <c r="D49" s="14" t="s">
        <v>66</v>
      </c>
      <c r="E49" s="15" t="s">
        <v>67</v>
      </c>
      <c r="F49" s="10" t="s">
        <v>68</v>
      </c>
      <c r="G49" s="15" t="s">
        <v>61</v>
      </c>
      <c r="H49" s="10" t="s">
        <v>69</v>
      </c>
      <c r="I49" s="15" t="s">
        <v>70</v>
      </c>
      <c r="J49" s="10" t="s">
        <v>71</v>
      </c>
      <c r="K49" s="15" t="s">
        <v>72</v>
      </c>
      <c r="L49" s="10">
        <v>51.9</v>
      </c>
      <c r="M49" s="15">
        <v>87.3</v>
      </c>
    </row>
    <row r="50" spans="1:13" x14ac:dyDescent="0.2">
      <c r="A50" s="58"/>
      <c r="B50" s="19" t="s">
        <v>104</v>
      </c>
      <c r="C50" s="42"/>
      <c r="D50" s="3" t="s">
        <v>73</v>
      </c>
      <c r="E50" s="4" t="s">
        <v>74</v>
      </c>
      <c r="F50" s="2" t="s">
        <v>75</v>
      </c>
      <c r="G50" s="52" t="s">
        <v>76</v>
      </c>
      <c r="H50" s="2" t="s">
        <v>77</v>
      </c>
      <c r="I50" s="4" t="s">
        <v>78</v>
      </c>
      <c r="J50" s="2" t="s">
        <v>79</v>
      </c>
      <c r="K50" s="4" t="s">
        <v>80</v>
      </c>
      <c r="L50" s="2">
        <v>63.5</v>
      </c>
      <c r="M50" s="4">
        <v>92.6</v>
      </c>
    </row>
    <row r="51" spans="1:13" x14ac:dyDescent="0.2">
      <c r="A51" s="59"/>
      <c r="B51" s="20" t="s">
        <v>13</v>
      </c>
      <c r="C51" s="43"/>
      <c r="D51" s="6" t="s">
        <v>81</v>
      </c>
      <c r="E51" s="7" t="s">
        <v>82</v>
      </c>
      <c r="F51" s="5" t="s">
        <v>83</v>
      </c>
      <c r="G51" s="7" t="s">
        <v>84</v>
      </c>
      <c r="H51" s="5" t="s">
        <v>85</v>
      </c>
      <c r="I51" s="7" t="s">
        <v>86</v>
      </c>
      <c r="J51" s="5" t="s">
        <v>87</v>
      </c>
      <c r="K51" s="7" t="s">
        <v>88</v>
      </c>
      <c r="L51" s="5">
        <v>74.900000000000006</v>
      </c>
      <c r="M51" s="7">
        <v>92</v>
      </c>
    </row>
  </sheetData>
  <mergeCells count="18">
    <mergeCell ref="L1:M1"/>
    <mergeCell ref="A1:C1"/>
    <mergeCell ref="D1:E1"/>
    <mergeCell ref="F1:G1"/>
    <mergeCell ref="H1:I1"/>
    <mergeCell ref="J1:K1"/>
    <mergeCell ref="B15:B20"/>
    <mergeCell ref="A3:A8"/>
    <mergeCell ref="B3:B8"/>
    <mergeCell ref="A9:A14"/>
    <mergeCell ref="B9:B14"/>
    <mergeCell ref="A15:A20"/>
    <mergeCell ref="A33:A38"/>
    <mergeCell ref="B33:B38"/>
    <mergeCell ref="A21:A26"/>
    <mergeCell ref="B21:B26"/>
    <mergeCell ref="A27:A32"/>
    <mergeCell ref="B27:B3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yulong wang</cp:lastModifiedBy>
  <dcterms:created xsi:type="dcterms:W3CDTF">2015-06-05T18:19:34Z</dcterms:created>
  <dcterms:modified xsi:type="dcterms:W3CDTF">2026-01-15T11:24:32Z</dcterms:modified>
</cp:coreProperties>
</file>